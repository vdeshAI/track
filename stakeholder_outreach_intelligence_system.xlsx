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Journalist_Master" sheetId="3" state="visible" r:id="rId3"/>
    <sheet xmlns:r="http://schemas.openxmlformats.org/officeDocument/2006/relationships" name="Pipeline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Narrative_Map" sheetId="6" state="visible" r:id="rId6"/>
    <sheet xmlns:r="http://schemas.openxmlformats.org/officeDocument/2006/relationships" name="Messaging_Templates" sheetId="7" state="visible" r:id="rId7"/>
    <sheet xmlns:r="http://schemas.openxmlformats.org/officeDocument/2006/relationships" name="Strategy_Playbook" sheetId="8" state="visible" r:id="rId8"/>
    <sheet xmlns:r="http://schemas.openxmlformats.org/officeDocument/2006/relationships" name="Sources" sheetId="9" state="visible" r:id="rId9"/>
  </sheets>
  <definedNames>
    <definedName name="_xlnm._FilterDatabase" localSheetId="2" hidden="1">'Journalist_Master'!$A$1:$Z$23</definedName>
    <definedName name="_xlnm._FilterDatabase" localSheetId="3" hidden="1">'Pipeline'!$A$1:$L$23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  <sz val="11"/>
    </font>
    <font>
      <name val="Calibri"/>
      <family val="2"/>
      <color theme="10"/>
      <sz val="12"/>
      <scheme val="minor"/>
    </font>
    <font>
      <color rgb="00000000"/>
    </font>
    <font>
      <color rgb="000000FF"/>
    </font>
    <font>
      <color rgb="00008000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FBFDFF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thin">
        <color rgb="00D0D0D0"/>
      </bottom>
    </border>
    <border>
      <bottom style="medium">
        <color rgb="00FFFFFF"/>
      </bottom>
    </border>
    <border>
      <left/>
      <right/>
      <top/>
      <bottom style="medium">
        <color rgb="00FFFFFF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3" fillId="2" borderId="2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6" borderId="0" pivotButton="0" quotePrefix="0" xfId="1"/>
    <xf numFmtId="0" fontId="7" fillId="6" borderId="0" pivotButton="0" quotePrefix="0" xfId="1"/>
    <xf numFmtId="1" fontId="6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" fontId="5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0" pivotButton="0" quotePrefix="0" xfId="1"/>
    <xf numFmtId="1" fontId="6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" fontId="5" fillId="7" borderId="1" applyAlignment="1" pivotButton="0" quotePrefix="0" xfId="0">
      <alignment vertical="top" wrapText="1"/>
    </xf>
    <xf numFmtId="0" fontId="8" fillId="7" borderId="0" pivotButton="0" quotePrefix="0" xfId="1"/>
    <xf numFmtId="0" fontId="1" fillId="2" borderId="2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" fontId="2" fillId="5" borderId="0" pivotButton="0" quotePrefix="0" xfId="0"/>
    <xf numFmtId="164" fontId="2" fillId="5" borderId="0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6" borderId="1" applyAlignment="1" pivotButton="0" quotePrefix="0" xfId="1">
      <alignment vertical="top" wrapText="1"/>
    </xf>
    <xf numFmtId="0" fontId="4" fillId="7" borderId="1" applyAlignment="1" pivotButton="0" quotePrefix="0" xfId="1">
      <alignment vertical="top" wrapText="1"/>
    </xf>
    <xf numFmtId="0" fontId="0" fillId="0" borderId="3" pivotButton="0" quotePrefix="0" xfId="0"/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DE9E7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Stakeholders by Publication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'Dashboard'!$D$4:$D$11</f>
            </numRef>
          </cat>
          <val>
            <numRef>
              <f>'Dashboard'!$E$4:$E$11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Publication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Stage Mix</a:t>
            </a:r>
          </a:p>
        </rich>
      </tx>
    </title>
    <plotArea>
      <pieChart>
        <varyColors val="1"/>
        <ser>
          <idx val="0"/>
          <order val="0"/>
          <tx>
            <strRef>
              <f>'Dashboard'!E14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'Dashboard'!$D$15:$D$21</f>
            </numRef>
          </cat>
          <val>
            <numRef>
              <f>'Dashboard'!$E$15:$E$21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I1" authorId="0" shapeId="0">
      <text>
        <t>Only clearly public or self-published emails were filled.</t>
      </text>
    </comment>
    <comment ref="Q1" authorId="0" shapeId="0">
      <text>
        <t>Relationship Risk = access difficulty / sensitivity, not ideology.</t>
      </text>
    </comment>
    <comment ref="W1" authorId="0" shapeId="0">
      <text>
        <t>Priority Score formula: influence + contactability + confidence - access difficulty.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x.com/AyresAlyssa" TargetMode="External" Id="rId1"/><Relationship Type="http://schemas.openxmlformats.org/officeDocument/2006/relationships/hyperlink" Target="https://www.cfr.org/experts/alyssa-ayres" TargetMode="External" Id="rId2"/><Relationship Type="http://schemas.openxmlformats.org/officeDocument/2006/relationships/hyperlink" Target="https://alyssaayres.com/contact/" TargetMode="External" Id="rId3"/><Relationship Type="http://schemas.openxmlformats.org/officeDocument/2006/relationships/hyperlink" Target="https://www.cfr.org/experts/manjari-chatterjee-miller" TargetMode="External" Id="rId4"/><Relationship Type="http://schemas.openxmlformats.org/officeDocument/2006/relationships/hyperlink" Target="https://www.cfr.org/experts/manjari-chatterjee-miller" TargetMode="External" Id="rId5"/><Relationship Type="http://schemas.openxmlformats.org/officeDocument/2006/relationships/hyperlink" Target="https://x.com/MujMash" TargetMode="External" Id="rId6"/><Relationship Type="http://schemas.openxmlformats.org/officeDocument/2006/relationships/hyperlink" Target="https://muckrack.com/mujmash" TargetMode="External" Id="rId7"/><Relationship Type="http://schemas.openxmlformats.org/officeDocument/2006/relationships/hyperlink" Target="https://x.com/MujMash" TargetMode="External" Id="rId8"/><Relationship Type="http://schemas.openxmlformats.org/officeDocument/2006/relationships/hyperlink" Target="https://x.com/PreetaTweets" TargetMode="External" Id="rId9"/><Relationship Type="http://schemas.openxmlformats.org/officeDocument/2006/relationships/hyperlink" Target="https://muckrack.com/preetatweets" TargetMode="External" Id="rId10"/><Relationship Type="http://schemas.openxmlformats.org/officeDocument/2006/relationships/hyperlink" Target="https://x.com/PreetaTweets" TargetMode="External" Id="rId11"/><Relationship Type="http://schemas.openxmlformats.org/officeDocument/2006/relationships/hyperlink" Target="https://x.com/HariNYT" TargetMode="External" Id="rId12"/><Relationship Type="http://schemas.openxmlformats.org/officeDocument/2006/relationships/hyperlink" Target="https://muckrack.com/hari-kumar" TargetMode="External" Id="rId13"/><Relationship Type="http://schemas.openxmlformats.org/officeDocument/2006/relationships/hyperlink" Target="https://x.com/HariNYT" TargetMode="External" Id="rId14"/><Relationship Type="http://schemas.openxmlformats.org/officeDocument/2006/relationships/hyperlink" Target="https://x.com/triptilahiri" TargetMode="External" Id="rId15"/><Relationship Type="http://schemas.openxmlformats.org/officeDocument/2006/relationships/hyperlink" Target="https://muckrack.com/tripti-lahiri" TargetMode="External" Id="rId16"/><Relationship Type="http://schemas.openxmlformats.org/officeDocument/2006/relationships/hyperlink" Target="https://x.com/triptilahiri" TargetMode="External" Id="rId17"/><Relationship Type="http://schemas.openxmlformats.org/officeDocument/2006/relationships/hyperlink" Target="https://x.com/ByShanLi" TargetMode="External" Id="rId18"/><Relationship Type="http://schemas.openxmlformats.org/officeDocument/2006/relationships/hyperlink" Target="https://muckrack.com/byshanli" TargetMode="External" Id="rId19"/><Relationship Type="http://schemas.openxmlformats.org/officeDocument/2006/relationships/hyperlink" Target="https://x.com/ByShanLi" TargetMode="External" Id="rId20"/><Relationship Type="http://schemas.openxmlformats.org/officeDocument/2006/relationships/hyperlink" Target="https://x.com/pokharelkrishna" TargetMode="External" Id="rId21"/><Relationship Type="http://schemas.openxmlformats.org/officeDocument/2006/relationships/hyperlink" Target="https://www.wsj.com/news/author/krishna-pokharel" TargetMode="External" Id="rId22"/><Relationship Type="http://schemas.openxmlformats.org/officeDocument/2006/relationships/hyperlink" Target="https://x.com/pokharelkrishna" TargetMode="External" Id="rId23"/><Relationship Type="http://schemas.openxmlformats.org/officeDocument/2006/relationships/hyperlink" Target="https://x.com/pranshuverma_" TargetMode="External" Id="rId24"/><Relationship Type="http://schemas.openxmlformats.org/officeDocument/2006/relationships/hyperlink" Target="https://www.washingtonpost.com/people/pranshu-verma/" TargetMode="External" Id="rId25"/><Relationship Type="http://schemas.openxmlformats.org/officeDocument/2006/relationships/hyperlink" Target="https://www.linkedin.com/posts/pranshuverma_as-of-today-i-can-start-reporting-on-india-activity-7358387673503334402-zXA2" TargetMode="External" Id="rId26"/><Relationship Type="http://schemas.openxmlformats.org/officeDocument/2006/relationships/hyperlink" Target="https://x.com/karishma__m__" TargetMode="External" Id="rId27"/><Relationship Type="http://schemas.openxmlformats.org/officeDocument/2006/relationships/hyperlink" Target="https://www.washingtonpost.com/people/karishma-mehrotra/" TargetMode="External" Id="rId28"/><Relationship Type="http://schemas.openxmlformats.org/officeDocument/2006/relationships/hyperlink" Target="https://www.karishmamehrotra.com/contact" TargetMode="External" Id="rId29"/><Relationship Type="http://schemas.openxmlformats.org/officeDocument/2006/relationships/hyperlink" Target="https://x.com/jslaternyc" TargetMode="External" Id="rId30"/><Relationship Type="http://schemas.openxmlformats.org/officeDocument/2006/relationships/hyperlink" Target="https://www.washingtonpost.com/people/joanna-slater/" TargetMode="External" Id="rId31"/><Relationship Type="http://schemas.openxmlformats.org/officeDocument/2006/relationships/hyperlink" Target="https://x.com/jslaternyc" TargetMode="External" Id="rId32"/><Relationship Type="http://schemas.openxmlformats.org/officeDocument/2006/relationships/hyperlink" Target="https://x.com/TimothyNerozzi" TargetMode="External" Id="rId33"/><Relationship Type="http://schemas.openxmlformats.org/officeDocument/2006/relationships/hyperlink" Target="https://www.washingtonexaminer.com/author/timothy-nerozzi/" TargetMode="External" Id="rId34"/><Relationship Type="http://schemas.openxmlformats.org/officeDocument/2006/relationships/hyperlink" Target="https://x.com/TimothyNerozzi" TargetMode="External" Id="rId35"/><Relationship Type="http://schemas.openxmlformats.org/officeDocument/2006/relationships/hyperlink" Target="https://x.com/Brady_k6" TargetMode="External" Id="rId36"/><Relationship Type="http://schemas.openxmlformats.org/officeDocument/2006/relationships/hyperlink" Target="https://www.washingtonexaminer.com/author/brady-knox/" TargetMode="External" Id="rId37"/><Relationship Type="http://schemas.openxmlformats.org/officeDocument/2006/relationships/hyperlink" Target="https://x.com/Brady_k6" TargetMode="External" Id="rId38"/><Relationship Type="http://schemas.openxmlformats.org/officeDocument/2006/relationships/hyperlink" Target="https://x.com/TomRtweets" TargetMode="External" Id="rId39"/><Relationship Type="http://schemas.openxmlformats.org/officeDocument/2006/relationships/hyperlink" Target="https://www.washingtonexaminer.com/author/tom-rogan/" TargetMode="External" Id="rId40"/><Relationship Type="http://schemas.openxmlformats.org/officeDocument/2006/relationships/hyperlink" Target="https://www.washingtonexaminer.com/author/tom-rogan/" TargetMode="External" Id="rId41"/><Relationship Type="http://schemas.openxmlformats.org/officeDocument/2006/relationships/hyperlink" Target="https://x.com/JenGriffinFNC" TargetMode="External" Id="rId42"/><Relationship Type="http://schemas.openxmlformats.org/officeDocument/2006/relationships/hyperlink" Target="https://www.foxnews.com/person/g/jennifer-griffin" TargetMode="External" Id="rId43"/><Relationship Type="http://schemas.openxmlformats.org/officeDocument/2006/relationships/hyperlink" Target="https://x.com/JenGriffinFNC" TargetMode="External" Id="rId44"/><Relationship Type="http://schemas.openxmlformats.org/officeDocument/2006/relationships/hyperlink" Target="https://x.com/TreyYingst" TargetMode="External" Id="rId45"/><Relationship Type="http://schemas.openxmlformats.org/officeDocument/2006/relationships/hyperlink" Target="https://muckrack.com/trey-yingst" TargetMode="External" Id="rId46"/><Relationship Type="http://schemas.openxmlformats.org/officeDocument/2006/relationships/hyperlink" Target="https://x.com/TreyYingst" TargetMode="External" Id="rId47"/><Relationship Type="http://schemas.openxmlformats.org/officeDocument/2006/relationships/hyperlink" Target="https://x.com/Sheikh_Saaliq" TargetMode="External" Id="rId48"/><Relationship Type="http://schemas.openxmlformats.org/officeDocument/2006/relationships/hyperlink" Target="https://apnews.com/author/sheikh-saaliq" TargetMode="External" Id="rId49"/><Relationship Type="http://schemas.openxmlformats.org/officeDocument/2006/relationships/hyperlink" Target="https://x.com/Sheikh_Saaliq" TargetMode="External" Id="rId50"/><Relationship Type="http://schemas.openxmlformats.org/officeDocument/2006/relationships/hyperlink" Target="https://x.com/sibi123" TargetMode="External" Id="rId51"/><Relationship Type="http://schemas.openxmlformats.org/officeDocument/2006/relationships/hyperlink" Target="https://apnews.com/author/sibi-arasu" TargetMode="External" Id="rId52"/><Relationship Type="http://schemas.openxmlformats.org/officeDocument/2006/relationships/hyperlink" Target="https://x.com/sibi123" TargetMode="External" Id="rId53"/><Relationship Type="http://schemas.openxmlformats.org/officeDocument/2006/relationships/hyperlink" Target="https://x.com/hussain_aijaz" TargetMode="External" Id="rId54"/><Relationship Type="http://schemas.openxmlformats.org/officeDocument/2006/relationships/hyperlink" Target="https://apnews.com/author/aijaz-hussain" TargetMode="External" Id="rId55"/><Relationship Type="http://schemas.openxmlformats.org/officeDocument/2006/relationships/hyperlink" Target="https://x.com/hussain_aijaz" TargetMode="External" Id="rId56"/><Relationship Type="http://schemas.openxmlformats.org/officeDocument/2006/relationships/hyperlink" Target="https://x.com/sw_gs" TargetMode="External" Id="rId57"/><Relationship Type="http://schemas.openxmlformats.org/officeDocument/2006/relationships/hyperlink" Target="https://www.bloomberg.com/authors/AWZfRQwLDfI/swati-gupta" TargetMode="External" Id="rId58"/><Relationship Type="http://schemas.openxmlformats.org/officeDocument/2006/relationships/hyperlink" Target="https://x.com/sw_gs" TargetMode="External" Id="rId59"/><Relationship Type="http://schemas.openxmlformats.org/officeDocument/2006/relationships/hyperlink" Target="https://x.com/rajeshsing13" TargetMode="External" Id="rId60"/><Relationship Type="http://schemas.openxmlformats.org/officeDocument/2006/relationships/hyperlink" Target="https://www.bloomberg.com/authors/AQMyDU0Qjbo/rajesh-kumar-singh" TargetMode="External" Id="rId61"/><Relationship Type="http://schemas.openxmlformats.org/officeDocument/2006/relationships/hyperlink" Target="https://news.bloomberglaw.com/author/rajesh-kumar-singh-16986637" TargetMode="External" Id="rId62"/><Relationship Type="http://schemas.openxmlformats.org/officeDocument/2006/relationships/hyperlink" Target="https://x.com/advait_px" TargetMode="External" Id="rId63"/><Relationship Type="http://schemas.openxmlformats.org/officeDocument/2006/relationships/hyperlink" Target="https://www.bloomberg.com/authors/AWRasSKfZpM/advait-palepu" TargetMode="External" Id="rId64"/><Relationship Type="http://schemas.openxmlformats.org/officeDocument/2006/relationships/hyperlink" Target="https://x.com/advait_px" TargetMode="External" Id="rId6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cfr.org/experts/alyssa-ayres" TargetMode="External" Id="rId1"/><Relationship Type="http://schemas.openxmlformats.org/officeDocument/2006/relationships/hyperlink" Target="https://alyssaayres.com/contact/" TargetMode="External" Id="rId2"/><Relationship Type="http://schemas.openxmlformats.org/officeDocument/2006/relationships/hyperlink" Target="https://www.cfr.org/experts/manjari-chatterjee-miller" TargetMode="External" Id="rId3"/><Relationship Type="http://schemas.openxmlformats.org/officeDocument/2006/relationships/hyperlink" Target="https://www.cfr.org/experts/manjari-chatterjee-miller" TargetMode="External" Id="rId4"/><Relationship Type="http://schemas.openxmlformats.org/officeDocument/2006/relationships/hyperlink" Target="https://muckrack.com/mujmash" TargetMode="External" Id="rId5"/><Relationship Type="http://schemas.openxmlformats.org/officeDocument/2006/relationships/hyperlink" Target="https://x.com/MujMash" TargetMode="External" Id="rId6"/><Relationship Type="http://schemas.openxmlformats.org/officeDocument/2006/relationships/hyperlink" Target="https://muckrack.com/preetatweets" TargetMode="External" Id="rId7"/><Relationship Type="http://schemas.openxmlformats.org/officeDocument/2006/relationships/hyperlink" Target="https://x.com/PreetaTweets" TargetMode="External" Id="rId8"/><Relationship Type="http://schemas.openxmlformats.org/officeDocument/2006/relationships/hyperlink" Target="https://muckrack.com/hari-kumar" TargetMode="External" Id="rId9"/><Relationship Type="http://schemas.openxmlformats.org/officeDocument/2006/relationships/hyperlink" Target="https://x.com/HariNYT" TargetMode="External" Id="rId10"/><Relationship Type="http://schemas.openxmlformats.org/officeDocument/2006/relationships/hyperlink" Target="https://muckrack.com/tripti-lahiri" TargetMode="External" Id="rId11"/><Relationship Type="http://schemas.openxmlformats.org/officeDocument/2006/relationships/hyperlink" Target="https://x.com/triptilahiri" TargetMode="External" Id="rId12"/><Relationship Type="http://schemas.openxmlformats.org/officeDocument/2006/relationships/hyperlink" Target="https://muckrack.com/byshanli" TargetMode="External" Id="rId13"/><Relationship Type="http://schemas.openxmlformats.org/officeDocument/2006/relationships/hyperlink" Target="https://x.com/ByShanLi" TargetMode="External" Id="rId14"/><Relationship Type="http://schemas.openxmlformats.org/officeDocument/2006/relationships/hyperlink" Target="https://www.wsj.com/news/author/krishna-pokharel" TargetMode="External" Id="rId15"/><Relationship Type="http://schemas.openxmlformats.org/officeDocument/2006/relationships/hyperlink" Target="https://x.com/pokharelkrishna" TargetMode="External" Id="rId16"/><Relationship Type="http://schemas.openxmlformats.org/officeDocument/2006/relationships/hyperlink" Target="https://www.washingtonpost.com/people/pranshu-verma/" TargetMode="External" Id="rId17"/><Relationship Type="http://schemas.openxmlformats.org/officeDocument/2006/relationships/hyperlink" Target="https://www.linkedin.com/posts/pranshuverma_as-of-today-i-can-start-reporting-on-india-activity-7358387673503334402-zXA2" TargetMode="External" Id="rId18"/><Relationship Type="http://schemas.openxmlformats.org/officeDocument/2006/relationships/hyperlink" Target="https://www.washingtonpost.com/people/karishma-mehrotra/" TargetMode="External" Id="rId19"/><Relationship Type="http://schemas.openxmlformats.org/officeDocument/2006/relationships/hyperlink" Target="https://www.karishmamehrotra.com/contact" TargetMode="External" Id="rId20"/><Relationship Type="http://schemas.openxmlformats.org/officeDocument/2006/relationships/hyperlink" Target="https://www.washingtonpost.com/people/joanna-slater/" TargetMode="External" Id="rId21"/><Relationship Type="http://schemas.openxmlformats.org/officeDocument/2006/relationships/hyperlink" Target="https://x.com/jslaternyc" TargetMode="External" Id="rId22"/><Relationship Type="http://schemas.openxmlformats.org/officeDocument/2006/relationships/hyperlink" Target="https://www.washingtonexaminer.com/author/timothy-nerozzi/" TargetMode="External" Id="rId23"/><Relationship Type="http://schemas.openxmlformats.org/officeDocument/2006/relationships/hyperlink" Target="https://x.com/TimothyNerozzi" TargetMode="External" Id="rId24"/><Relationship Type="http://schemas.openxmlformats.org/officeDocument/2006/relationships/hyperlink" Target="https://www.washingtonexaminer.com/author/brady-knox/" TargetMode="External" Id="rId25"/><Relationship Type="http://schemas.openxmlformats.org/officeDocument/2006/relationships/hyperlink" Target="https://x.com/Brady_k6" TargetMode="External" Id="rId26"/><Relationship Type="http://schemas.openxmlformats.org/officeDocument/2006/relationships/hyperlink" Target="https://www.washingtonexaminer.com/author/tom-rogan/" TargetMode="External" Id="rId27"/><Relationship Type="http://schemas.openxmlformats.org/officeDocument/2006/relationships/hyperlink" Target="https://www.washingtonexaminer.com/author/tom-rogan/" TargetMode="External" Id="rId28"/><Relationship Type="http://schemas.openxmlformats.org/officeDocument/2006/relationships/hyperlink" Target="https://www.foxnews.com/person/g/jennifer-griffin" TargetMode="External" Id="rId29"/><Relationship Type="http://schemas.openxmlformats.org/officeDocument/2006/relationships/hyperlink" Target="https://x.com/JenGriffinFNC" TargetMode="External" Id="rId30"/><Relationship Type="http://schemas.openxmlformats.org/officeDocument/2006/relationships/hyperlink" Target="https://muckrack.com/trey-yingst" TargetMode="External" Id="rId31"/><Relationship Type="http://schemas.openxmlformats.org/officeDocument/2006/relationships/hyperlink" Target="https://x.com/TreyYingst" TargetMode="External" Id="rId32"/><Relationship Type="http://schemas.openxmlformats.org/officeDocument/2006/relationships/hyperlink" Target="https://apnews.com/author/sheikh-saaliq" TargetMode="External" Id="rId33"/><Relationship Type="http://schemas.openxmlformats.org/officeDocument/2006/relationships/hyperlink" Target="https://x.com/Sheikh_Saaliq" TargetMode="External" Id="rId34"/><Relationship Type="http://schemas.openxmlformats.org/officeDocument/2006/relationships/hyperlink" Target="https://apnews.com/author/sibi-arasu" TargetMode="External" Id="rId35"/><Relationship Type="http://schemas.openxmlformats.org/officeDocument/2006/relationships/hyperlink" Target="https://x.com/sibi123" TargetMode="External" Id="rId36"/><Relationship Type="http://schemas.openxmlformats.org/officeDocument/2006/relationships/hyperlink" Target="https://apnews.com/author/aijaz-hussain" TargetMode="External" Id="rId37"/><Relationship Type="http://schemas.openxmlformats.org/officeDocument/2006/relationships/hyperlink" Target="https://x.com/hussain_aijaz" TargetMode="External" Id="rId38"/><Relationship Type="http://schemas.openxmlformats.org/officeDocument/2006/relationships/hyperlink" Target="https://www.bloomberg.com/authors/AWZfRQwLDfI/swati-gupta" TargetMode="External" Id="rId39"/><Relationship Type="http://schemas.openxmlformats.org/officeDocument/2006/relationships/hyperlink" Target="https://x.com/sw_gs" TargetMode="External" Id="rId40"/><Relationship Type="http://schemas.openxmlformats.org/officeDocument/2006/relationships/hyperlink" Target="https://www.bloomberg.com/authors/AQMyDU0Qjbo/rajesh-kumar-singh" TargetMode="External" Id="rId41"/><Relationship Type="http://schemas.openxmlformats.org/officeDocument/2006/relationships/hyperlink" Target="https://news.bloomberglaw.com/author/rajesh-kumar-singh-16986637" TargetMode="External" Id="rId42"/><Relationship Type="http://schemas.openxmlformats.org/officeDocument/2006/relationships/hyperlink" Target="https://www.bloomberg.com/authors/AWRasSKfZpM/advait-palepu" TargetMode="External" Id="rId43"/><Relationship Type="http://schemas.openxmlformats.org/officeDocument/2006/relationships/hyperlink" Target="https://x.com/advait_px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Stakeholder + Outreach Intelligence System</t>
        </is>
      </c>
    </row>
    <row r="2">
      <c r="A2" s="2" t="inlineStr">
        <is>
          <t>Purpose</t>
        </is>
      </c>
      <c r="B2" s="3" t="inlineStr">
        <is>
          <t>Track public-facing journalists/analysts covering foreign relations or India-related topics, prioritize outreach, manage pipeline activity, and reuse templates.</t>
        </is>
      </c>
    </row>
    <row r="3">
      <c r="A3" s="2" t="inlineStr">
        <is>
          <t>Data date</t>
        </is>
      </c>
      <c r="B3" s="3" t="inlineStr">
        <is>
          <t>2026-04-15</t>
        </is>
      </c>
    </row>
    <row r="4">
      <c r="A4" s="2" t="inlineStr">
        <is>
          <t>Scope</t>
        </is>
      </c>
      <c r="B4" s="3" t="inlineStr">
        <is>
          <t>Council on Foreign Relations, New York Times, Wall Street Journal, Washington Post, Washington Examiner, FOX News, Associated Press, Bloomberg.</t>
        </is>
      </c>
    </row>
    <row r="5">
      <c r="A5" s="4" t="inlineStr">
        <is>
          <t>Important</t>
        </is>
      </c>
      <c r="B5" s="3" t="inlineStr">
        <is>
          <t>Only clearly public or self-published contact details were included. Many journalists do not publish direct phone numbers; blanks should be treated as 'not publicly listed'.</t>
        </is>
      </c>
    </row>
    <row r="6">
      <c r="A6" s="2" t="inlineStr">
        <is>
          <t>Sheets</t>
        </is>
      </c>
      <c r="B6" s="3" t="inlineStr">
        <is>
          <t>Journalist_Master, Pipeline, Dashboard, Narrative_Map, Messaging_Templates, Strategy_Playbook, Sources, Lists.</t>
        </is>
      </c>
    </row>
    <row r="7">
      <c r="A7" s="5" t="n"/>
      <c r="B7" s="3" t="n"/>
    </row>
    <row r="8">
      <c r="A8" s="5" t="inlineStr">
        <is>
          <t>Workflow</t>
        </is>
      </c>
      <c r="B8" s="3" t="n"/>
    </row>
    <row r="9">
      <c r="A9" s="5" t="inlineStr">
        <is>
          <t>1) Filter Journalist_Master by publication, coverage focus, or priority score.</t>
        </is>
      </c>
      <c r="B9" s="3" t="n"/>
    </row>
    <row r="10">
      <c r="A10" s="5" t="inlineStr">
        <is>
          <t>2) Use Contact Route + Confidence to decide whether to email, DM, or continue research.</t>
        </is>
      </c>
      <c r="B10" s="3" t="n"/>
    </row>
    <row r="11">
      <c r="A11" s="5" t="inlineStr">
        <is>
          <t>3) Log every touch in Pipeline and set a follow-up due date.</t>
        </is>
      </c>
      <c r="B11" s="3" t="n"/>
    </row>
    <row r="12">
      <c r="A12" s="5" t="inlineStr">
        <is>
          <t>4) Reuse subject lines and body copy from Messaging_Templates.</t>
        </is>
      </c>
      <c r="B12" s="3" t="n"/>
    </row>
    <row r="13">
      <c r="A13" s="5" t="inlineStr">
        <is>
          <t>5) Use Narrative_Map and Strategy_Playbook to prepare spokespeople and supporting evidence.</t>
        </is>
      </c>
      <c r="B13" s="3" t="n"/>
    </row>
    <row r="14">
      <c r="A14" s="5" t="n"/>
      <c r="B14" s="3" t="n"/>
    </row>
    <row r="15">
      <c r="A15" s="5" t="n"/>
      <c r="B15" s="3" t="n"/>
    </row>
    <row r="16">
      <c r="A16" s="2" t="inlineStr">
        <is>
          <t>Scoring notes</t>
        </is>
      </c>
      <c r="B16" s="3" t="inlineStr">
        <is>
          <t>Priority Score is formula-driven from Influence + contactability + confidence + risk. Relationship Risk here means access difficulty / sensitivity, not editorial ideology.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Analyst/Author</t>
        </is>
      </c>
      <c r="B1" t="inlineStr">
        <is>
          <t>High</t>
        </is>
      </c>
      <c r="C1" t="n">
        <v>1</v>
      </c>
      <c r="D1" t="inlineStr">
        <is>
          <t>Low</t>
        </is>
      </c>
      <c r="E1" t="inlineStr">
        <is>
          <t>New</t>
        </is>
      </c>
      <c r="F1" t="inlineStr">
        <is>
          <t>Intro email</t>
        </is>
      </c>
      <c r="G1" t="inlineStr">
        <is>
          <t>Prospect</t>
        </is>
      </c>
      <c r="H1" t="inlineStr">
        <is>
          <t>None</t>
        </is>
      </c>
    </row>
    <row r="2">
      <c r="A2" t="inlineStr">
        <is>
          <t>Journalist</t>
        </is>
      </c>
      <c r="B2" t="inlineStr">
        <is>
          <t>Medium</t>
        </is>
      </c>
      <c r="C2" t="n">
        <v>2</v>
      </c>
      <c r="D2" t="inlineStr">
        <is>
          <t>Medium</t>
        </is>
      </c>
      <c r="E2" t="inlineStr">
        <is>
          <t>Engaged</t>
        </is>
      </c>
      <c r="F2" t="inlineStr">
        <is>
          <t>Monitor and build context</t>
        </is>
      </c>
      <c r="G2" t="inlineStr">
        <is>
          <t>Contacted</t>
        </is>
      </c>
      <c r="H2" t="inlineStr">
        <is>
          <t>Positive</t>
        </is>
      </c>
    </row>
    <row r="3">
      <c r="A3" t="inlineStr">
        <is>
          <t>Commentary / Journalist</t>
        </is>
      </c>
      <c r="B3" t="inlineStr">
        <is>
          <t>Low</t>
        </is>
      </c>
      <c r="C3" t="n">
        <v>3</v>
      </c>
      <c r="D3" t="inlineStr">
        <is>
          <t>High</t>
        </is>
      </c>
      <c r="E3" t="inlineStr">
        <is>
          <t>Trusted</t>
        </is>
      </c>
      <c r="F3" t="inlineStr">
        <is>
          <t>Monitor and offer briefing</t>
        </is>
      </c>
      <c r="G3" t="inlineStr">
        <is>
          <t>Replied</t>
        </is>
      </c>
      <c r="H3" t="inlineStr">
        <is>
          <t>Neutral</t>
        </is>
      </c>
    </row>
    <row r="4">
      <c r="C4" t="n">
        <v>4</v>
      </c>
      <c r="E4" t="inlineStr">
        <is>
          <t>Paused</t>
        </is>
      </c>
      <c r="F4" t="inlineStr">
        <is>
          <t>Offer data-led briefing</t>
        </is>
      </c>
      <c r="G4" t="inlineStr">
        <is>
          <t>Meeting</t>
        </is>
      </c>
      <c r="H4" t="inlineStr">
        <is>
          <t>Negative</t>
        </is>
      </c>
    </row>
    <row r="5">
      <c r="C5" t="n">
        <v>5</v>
      </c>
      <c r="F5" t="inlineStr">
        <is>
          <t>Offer field reporting context</t>
        </is>
      </c>
      <c r="G5" t="inlineStr">
        <is>
          <t>Pitched</t>
        </is>
      </c>
    </row>
    <row r="6">
      <c r="F6" t="inlineStr">
        <is>
          <t>Offer facts, timelines, and documentation</t>
        </is>
      </c>
      <c r="G6" t="inlineStr">
        <is>
          <t>Covered</t>
        </is>
      </c>
    </row>
    <row r="7">
      <c r="F7" t="inlineStr">
        <is>
          <t>Use for Kashmir / strategic affairs context</t>
        </is>
      </c>
      <c r="G7" t="inlineStr">
        <is>
          <t>Paused</t>
        </is>
      </c>
    </row>
    <row r="8">
      <c r="F8" t="inlineStr">
        <is>
          <t>Pitch only with strong defense/security peg</t>
        </is>
      </c>
    </row>
    <row r="9">
      <c r="F9" t="inlineStr">
        <is>
          <t>Use for major conflict/foreign policy developments</t>
        </is>
      </c>
    </row>
    <row r="10">
      <c r="F10" t="inlineStr">
        <is>
          <t>Use if opinion/security framing is relevant</t>
        </is>
      </c>
    </row>
    <row r="11">
      <c r="F11" t="inlineStr">
        <is>
          <t>X follow / monitor</t>
        </is>
      </c>
    </row>
    <row r="12">
      <c r="F12" t="inlineStr">
        <is>
          <t>Research / monitor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5" customWidth="1" min="3" max="3"/>
    <col width="18" customWidth="1" min="4" max="4"/>
    <col width="34" customWidth="1" min="5" max="5"/>
    <col width="38" customWidth="1" min="6" max="6"/>
    <col width="18" customWidth="1" min="7" max="7"/>
    <col width="20" customWidth="1" min="8" max="8"/>
    <col width="28" customWidth="1" min="9" max="9"/>
    <col width="16" customWidth="1" min="10" max="10"/>
    <col width="28" customWidth="1" min="11" max="11"/>
    <col width="16" customWidth="1" min="12" max="12"/>
    <col width="28" customWidth="1" min="13" max="13"/>
    <col width="30" customWidth="1" min="14" max="14"/>
    <col width="14" customWidth="1" min="15" max="15"/>
    <col width="12" customWidth="1" min="16" max="16"/>
    <col width="16" customWidth="1" min="17" max="17"/>
    <col width="18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28" customWidth="1" min="24" max="24"/>
    <col width="40" customWidth="1" min="25" max="25"/>
    <col width="14" customWidth="1" min="26" max="26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Publication</t>
        </is>
      </c>
      <c r="D1" s="6" t="inlineStr">
        <is>
          <t>Stakeholder Type</t>
        </is>
      </c>
      <c r="E1" s="6" t="inlineStr">
        <is>
          <t>Role / Title</t>
        </is>
      </c>
      <c r="F1" s="6" t="inlineStr">
        <is>
          <t>Coverage Focus</t>
        </is>
      </c>
      <c r="G1" s="6" t="inlineStr">
        <is>
          <t>Geography</t>
        </is>
      </c>
      <c r="H1" s="6" t="inlineStr">
        <is>
          <t>Location</t>
        </is>
      </c>
      <c r="I1" s="6" t="inlineStr">
        <is>
          <t>Public Email</t>
        </is>
      </c>
      <c r="J1" s="6" t="inlineStr">
        <is>
          <t>Public Phone</t>
        </is>
      </c>
      <c r="K1" s="6" t="inlineStr">
        <is>
          <t>Alt/Public Contact</t>
        </is>
      </c>
      <c r="L1" s="6" t="inlineStr">
        <is>
          <t>X Handle</t>
        </is>
      </c>
      <c r="M1" s="6" t="inlineStr">
        <is>
          <t>Profile URL</t>
        </is>
      </c>
      <c r="N1" s="6" t="inlineStr">
        <is>
          <t>Contact Evidence URL</t>
        </is>
      </c>
      <c r="O1" s="6" t="inlineStr">
        <is>
          <t>Contact Confidence</t>
        </is>
      </c>
      <c r="P1" s="6" t="inlineStr">
        <is>
          <t>Influence Score</t>
        </is>
      </c>
      <c r="Q1" s="6" t="inlineStr">
        <is>
          <t>Relationship Risk</t>
        </is>
      </c>
      <c r="R1" s="6" t="inlineStr">
        <is>
          <t>Relationship Status</t>
        </is>
      </c>
      <c r="S1" s="6" t="inlineStr">
        <is>
          <t>Last Contact</t>
        </is>
      </c>
      <c r="T1" s="6" t="inlineStr">
        <is>
          <t>Next Action</t>
        </is>
      </c>
      <c r="U1" s="6" t="inlineStr">
        <is>
          <t>Contact Route</t>
        </is>
      </c>
      <c r="V1" s="6" t="inlineStr">
        <is>
          <t>Contact Coverage</t>
        </is>
      </c>
      <c r="W1" s="6" t="inlineStr">
        <is>
          <t>Priority Score</t>
        </is>
      </c>
      <c r="X1" s="6" t="inlineStr">
        <is>
          <t>Likely Angle</t>
        </is>
      </c>
      <c r="Y1" s="6" t="inlineStr">
        <is>
          <t>Notes</t>
        </is>
      </c>
      <c r="Z1" s="6" t="inlineStr">
        <is>
          <t>Last Verified</t>
        </is>
      </c>
    </row>
    <row r="2">
      <c r="A2" s="7" t="n">
        <v>1</v>
      </c>
      <c r="B2" s="7" t="inlineStr">
        <is>
          <t>Alyssa Ayres</t>
        </is>
      </c>
      <c r="C2" s="7" t="inlineStr">
        <is>
          <t>Council on Foreign Relations</t>
        </is>
      </c>
      <c r="D2" s="7" t="inlineStr">
        <is>
          <t>Analyst/Author</t>
        </is>
      </c>
      <c r="E2" s="7" t="inlineStr">
        <is>
          <t>Adjunct Senior Fellow for India, Pakistan, and South Asia</t>
        </is>
      </c>
      <c r="F2" s="7" t="inlineStr">
        <is>
          <t>India, Pakistan, South Asia; trade and strategy</t>
        </is>
      </c>
      <c r="G2" s="7" t="inlineStr">
        <is>
          <t>South Asia</t>
        </is>
      </c>
      <c r="H2" s="7" t="inlineStr">
        <is>
          <t>Washington, DC</t>
        </is>
      </c>
      <c r="I2" s="8" t="inlineStr">
        <is>
          <t>alyssa@alyssaayres.com</t>
        </is>
      </c>
      <c r="J2" s="9" t="inlineStr"/>
      <c r="K2" s="8" t="inlineStr">
        <is>
          <t>CFR profile + personal site email</t>
        </is>
      </c>
      <c r="L2" s="10" t="inlineStr">
        <is>
          <t>@AyresAlyssa</t>
        </is>
      </c>
      <c r="M2" s="11" t="inlineStr">
        <is>
          <t>https://www.cfr.org/experts/alyssa-ayres</t>
        </is>
      </c>
      <c r="N2" s="11" t="inlineStr">
        <is>
          <t>https://alyssaayres.com/contact/</t>
        </is>
      </c>
      <c r="O2" s="7" t="inlineStr">
        <is>
          <t>High</t>
        </is>
      </c>
      <c r="P2" s="12" t="n">
        <v>4</v>
      </c>
      <c r="Q2" s="8" t="inlineStr">
        <is>
          <t>Low</t>
        </is>
      </c>
      <c r="R2" s="8" t="inlineStr">
        <is>
          <t>New</t>
        </is>
      </c>
      <c r="S2" s="9" t="inlineStr"/>
      <c r="T2" s="8" t="inlineStr">
        <is>
          <t>Intro email</t>
        </is>
      </c>
      <c r="U2" s="13">
        <f>IF(I2&lt;&gt;"","Email",IF(L2&lt;&gt;"","X / social","Research"))</f>
        <v/>
      </c>
      <c r="V2" s="14">
        <f>COUNTA(I2:L2)</f>
        <v/>
      </c>
      <c r="W2" s="14">
        <f>ROUND(P2*2 + IF(O2="High",2,IF(O2="Medium",1,0)) + IF(I2&lt;&gt;"",2,0) + IF(L2&lt;&gt;"",1,0) - IF(Q2="High",1,0),0)</f>
        <v/>
      </c>
      <c r="X2" s="7" t="inlineStr">
        <is>
          <t>India strategy / trade / South Asia</t>
        </is>
      </c>
      <c r="Y2" s="7" t="inlineStr">
        <is>
          <t>CFR analyst; useful for background briefings and expert context.</t>
        </is>
      </c>
      <c r="Z2" s="7" t="inlineStr">
        <is>
          <t>2026-04-15</t>
        </is>
      </c>
    </row>
    <row r="3">
      <c r="A3" s="15" t="n">
        <v>2</v>
      </c>
      <c r="B3" s="15" t="inlineStr">
        <is>
          <t>Manjari Chatterjee Miller</t>
        </is>
      </c>
      <c r="C3" s="15" t="inlineStr">
        <is>
          <t>Council on Foreign Relations</t>
        </is>
      </c>
      <c r="D3" s="15" t="inlineStr">
        <is>
          <t>Analyst/Author</t>
        </is>
      </c>
      <c r="E3" s="15" t="inlineStr">
        <is>
          <t>Senior Fellow</t>
        </is>
      </c>
      <c r="F3" s="15" t="inlineStr">
        <is>
          <t>India, China, and rising powers</t>
        </is>
      </c>
      <c r="G3" s="15" t="inlineStr">
        <is>
          <t>South Asia / Asia</t>
        </is>
      </c>
      <c r="H3" s="15" t="inlineStr">
        <is>
          <t>Toronto / CFR</t>
        </is>
      </c>
      <c r="I3" s="16" t="inlineStr">
        <is>
          <t>mmiller@cfr.org</t>
        </is>
      </c>
      <c r="J3" s="9" t="inlineStr"/>
      <c r="K3" s="9" t="inlineStr"/>
      <c r="L3" s="9" t="inlineStr"/>
      <c r="M3" s="17" t="inlineStr">
        <is>
          <t>https://www.cfr.org/experts/manjari-chatterjee-miller</t>
        </is>
      </c>
      <c r="N3" s="17" t="inlineStr">
        <is>
          <t>https://www.cfr.org/experts/manjari-chatterjee-miller</t>
        </is>
      </c>
      <c r="O3" s="15" t="inlineStr">
        <is>
          <t>High</t>
        </is>
      </c>
      <c r="P3" s="18" t="n">
        <v>4</v>
      </c>
      <c r="Q3" s="16" t="inlineStr">
        <is>
          <t>Low</t>
        </is>
      </c>
      <c r="R3" s="16" t="inlineStr">
        <is>
          <t>New</t>
        </is>
      </c>
      <c r="S3" s="9" t="inlineStr"/>
      <c r="T3" s="16" t="inlineStr">
        <is>
          <t>Intro email</t>
        </is>
      </c>
      <c r="U3" s="19">
        <f>IF(I3&lt;&gt;"","Email",IF(L3&lt;&gt;"","X / social","Research"))</f>
        <v/>
      </c>
      <c r="V3" s="20">
        <f>COUNTA(I3:L3)</f>
        <v/>
      </c>
      <c r="W3" s="20">
        <f>ROUND(P3*2 + IF(O3="High",2,IF(O3="Medium",1,0)) + IF(I3&lt;&gt;"",2,0) + IF(L3&lt;&gt;"",1,0) - IF(Q3="High",1,0),0)</f>
        <v/>
      </c>
      <c r="X3" s="15" t="inlineStr">
        <is>
          <t>India-China / rising powers / foreign policy</t>
        </is>
      </c>
      <c r="Y3" s="15" t="inlineStr">
        <is>
          <t>Strong for geopolitics, rising powers, and India-China context.</t>
        </is>
      </c>
      <c r="Z3" s="15" t="inlineStr">
        <is>
          <t>2026-04-15</t>
        </is>
      </c>
    </row>
    <row r="4">
      <c r="A4" s="7" t="n">
        <v>3</v>
      </c>
      <c r="B4" s="7" t="inlineStr">
        <is>
          <t>Mujib Mashal</t>
        </is>
      </c>
      <c r="C4" s="7" t="inlineStr">
        <is>
          <t>The New York Times</t>
        </is>
      </c>
      <c r="D4" s="7" t="inlineStr">
        <is>
          <t>Journalist</t>
        </is>
      </c>
      <c r="E4" s="7" t="inlineStr">
        <is>
          <t>South Asia Bureau Chief</t>
        </is>
      </c>
      <c r="F4" s="7" t="inlineStr">
        <is>
          <t>South Asia, Afghanistan, India region</t>
        </is>
      </c>
      <c r="G4" s="7" t="inlineStr">
        <is>
          <t>South Asia</t>
        </is>
      </c>
      <c r="H4" s="7" t="inlineStr">
        <is>
          <t>New Delhi</t>
        </is>
      </c>
      <c r="I4" s="9" t="inlineStr"/>
      <c r="J4" s="9" t="inlineStr"/>
      <c r="K4" s="9" t="inlineStr"/>
      <c r="L4" s="10" t="inlineStr">
        <is>
          <t>@MujMash</t>
        </is>
      </c>
      <c r="M4" s="11" t="inlineStr">
        <is>
          <t>https://muckrack.com/mujmash</t>
        </is>
      </c>
      <c r="N4" s="11" t="inlineStr">
        <is>
          <t>https://x.com/MujMash</t>
        </is>
      </c>
      <c r="O4" s="7" t="inlineStr">
        <is>
          <t>Medium</t>
        </is>
      </c>
      <c r="P4" s="12" t="n">
        <v>5</v>
      </c>
      <c r="Q4" s="8" t="inlineStr">
        <is>
          <t>Medium</t>
        </is>
      </c>
      <c r="R4" s="8" t="inlineStr">
        <is>
          <t>New</t>
        </is>
      </c>
      <c r="S4" s="9" t="inlineStr"/>
      <c r="T4" s="8" t="inlineStr">
        <is>
          <t>Monitor and build context</t>
        </is>
      </c>
      <c r="U4" s="13">
        <f>IF(I4&lt;&gt;"","Email",IF(L4&lt;&gt;"","X / social","Research"))</f>
        <v/>
      </c>
      <c r="V4" s="14">
        <f>COUNTA(I4:L4)</f>
        <v/>
      </c>
      <c r="W4" s="14">
        <f>ROUND(P4*2 + IF(O4="High",2,IF(O4="Medium",1,0)) + IF(I4&lt;&gt;"",2,0) + IF(L4&lt;&gt;"",1,0) - IF(Q4="High",1,0),0)</f>
        <v/>
      </c>
      <c r="X4" s="7" t="inlineStr">
        <is>
          <t>Regional politics / conflict / democracy</t>
        </is>
      </c>
      <c r="Y4" s="7" t="inlineStr">
        <is>
          <t>High-impact South Asia editor/correspondent. Public email not clearly self-published.</t>
        </is>
      </c>
      <c r="Z4" s="7" t="inlineStr">
        <is>
          <t>2026-04-15</t>
        </is>
      </c>
    </row>
    <row r="5">
      <c r="A5" s="15" t="n">
        <v>4</v>
      </c>
      <c r="B5" s="15" t="inlineStr">
        <is>
          <t>Anupreeta Das</t>
        </is>
      </c>
      <c r="C5" s="15" t="inlineStr">
        <is>
          <t>The New York Times</t>
        </is>
      </c>
      <c r="D5" s="15" t="inlineStr">
        <is>
          <t>Journalist</t>
        </is>
      </c>
      <c r="E5" s="15" t="inlineStr">
        <is>
          <t>South Asia Correspondent</t>
        </is>
      </c>
      <c r="F5" s="15" t="inlineStr">
        <is>
          <t>South Asia and India</t>
        </is>
      </c>
      <c r="G5" s="15" t="inlineStr">
        <is>
          <t>South Asia</t>
        </is>
      </c>
      <c r="H5" s="15" t="inlineStr">
        <is>
          <t>New Delhi / New York</t>
        </is>
      </c>
      <c r="I5" s="9" t="inlineStr"/>
      <c r="J5" s="9" t="inlineStr"/>
      <c r="K5" s="9" t="inlineStr"/>
      <c r="L5" s="21" t="inlineStr">
        <is>
          <t>@PreetaTweets</t>
        </is>
      </c>
      <c r="M5" s="17" t="inlineStr">
        <is>
          <t>https://muckrack.com/preetatweets</t>
        </is>
      </c>
      <c r="N5" s="17" t="inlineStr">
        <is>
          <t>https://x.com/PreetaTweets</t>
        </is>
      </c>
      <c r="O5" s="15" t="inlineStr">
        <is>
          <t>Medium</t>
        </is>
      </c>
      <c r="P5" s="18" t="n">
        <v>4</v>
      </c>
      <c r="Q5" s="16" t="inlineStr">
        <is>
          <t>Medium</t>
        </is>
      </c>
      <c r="R5" s="16" t="inlineStr">
        <is>
          <t>New</t>
        </is>
      </c>
      <c r="S5" s="9" t="inlineStr"/>
      <c r="T5" s="16" t="inlineStr">
        <is>
          <t>Monitor and offer briefing</t>
        </is>
      </c>
      <c r="U5" s="19">
        <f>IF(I5&lt;&gt;"","Email",IF(L5&lt;&gt;"","X / social","Research"))</f>
        <v/>
      </c>
      <c r="V5" s="20">
        <f>COUNTA(I5:L5)</f>
        <v/>
      </c>
      <c r="W5" s="20">
        <f>ROUND(P5*2 + IF(O5="High",2,IF(O5="Medium",1,0)) + IF(I5&lt;&gt;"",2,0) + IF(L5&lt;&gt;"",1,0) - IF(Q5="High",1,0),0)</f>
        <v/>
      </c>
      <c r="X5" s="15" t="inlineStr">
        <is>
          <t>India politics / elites / explanatory features</t>
        </is>
      </c>
      <c r="Y5" s="15" t="inlineStr">
        <is>
          <t>Strong fit for India politics/business crossover.</t>
        </is>
      </c>
      <c r="Z5" s="15" t="inlineStr">
        <is>
          <t>2026-04-15</t>
        </is>
      </c>
    </row>
    <row r="6">
      <c r="A6" s="7" t="n">
        <v>5</v>
      </c>
      <c r="B6" s="7" t="inlineStr">
        <is>
          <t>Hari Kumar</t>
        </is>
      </c>
      <c r="C6" s="7" t="inlineStr">
        <is>
          <t>The New York Times</t>
        </is>
      </c>
      <c r="D6" s="7" t="inlineStr">
        <is>
          <t>Journalist</t>
        </is>
      </c>
      <c r="E6" s="7" t="inlineStr">
        <is>
          <t>Reporter, New Delhi</t>
        </is>
      </c>
      <c r="F6" s="7" t="inlineStr">
        <is>
          <t>India, politics, world</t>
        </is>
      </c>
      <c r="G6" s="7" t="inlineStr">
        <is>
          <t>India</t>
        </is>
      </c>
      <c r="H6" s="7" t="inlineStr">
        <is>
          <t>New Delhi</t>
        </is>
      </c>
      <c r="I6" s="8" t="inlineStr">
        <is>
          <t>kumar@nytimes.com</t>
        </is>
      </c>
      <c r="J6" s="9" t="inlineStr"/>
      <c r="K6" s="9" t="inlineStr"/>
      <c r="L6" s="10" t="inlineStr">
        <is>
          <t>@HariNYT</t>
        </is>
      </c>
      <c r="M6" s="11" t="inlineStr">
        <is>
          <t>https://muckrack.com/hari-kumar</t>
        </is>
      </c>
      <c r="N6" s="11" t="inlineStr">
        <is>
          <t>https://x.com/HariNYT</t>
        </is>
      </c>
      <c r="O6" s="7" t="inlineStr">
        <is>
          <t>High</t>
        </is>
      </c>
      <c r="P6" s="12" t="n">
        <v>4</v>
      </c>
      <c r="Q6" s="8" t="inlineStr">
        <is>
          <t>Medium</t>
        </is>
      </c>
      <c r="R6" s="8" t="inlineStr">
        <is>
          <t>New</t>
        </is>
      </c>
      <c r="S6" s="9" t="inlineStr"/>
      <c r="T6" s="8" t="inlineStr">
        <is>
          <t>Intro email</t>
        </is>
      </c>
      <c r="U6" s="13">
        <f>IF(I6&lt;&gt;"","Email",IF(L6&lt;&gt;"","X / social","Research"))</f>
        <v/>
      </c>
      <c r="V6" s="14">
        <f>COUNTA(I6:L6)</f>
        <v/>
      </c>
      <c r="W6" s="14">
        <f>ROUND(P6*2 + IF(O6="High",2,IF(O6="Medium",1,0)) + IF(I6&lt;&gt;"",2,0) + IF(L6&lt;&gt;"",1,0) - IF(Q6="High",1,0),0)</f>
        <v/>
      </c>
      <c r="X6" s="7" t="inlineStr">
        <is>
          <t>India politics / economy / breaking news</t>
        </is>
      </c>
      <c r="Y6" s="7" t="inlineStr">
        <is>
          <t>India-focused NYT reporter with public email in profile snippet.</t>
        </is>
      </c>
      <c r="Z6" s="7" t="inlineStr">
        <is>
          <t>2026-04-15</t>
        </is>
      </c>
    </row>
    <row r="7">
      <c r="A7" s="15" t="n">
        <v>6</v>
      </c>
      <c r="B7" s="15" t="inlineStr">
        <is>
          <t>Tripti Lahiri</t>
        </is>
      </c>
      <c r="C7" s="15" t="inlineStr">
        <is>
          <t>The Wall Street Journal</t>
        </is>
      </c>
      <c r="D7" s="15" t="inlineStr">
        <is>
          <t>Journalist</t>
        </is>
      </c>
      <c r="E7" s="15" t="inlineStr">
        <is>
          <t>South Asia Bureau Chief</t>
        </is>
      </c>
      <c r="F7" s="15" t="inlineStr">
        <is>
          <t>Business, politics, and technology across South Asia</t>
        </is>
      </c>
      <c r="G7" s="15" t="inlineStr">
        <is>
          <t>South Asia</t>
        </is>
      </c>
      <c r="H7" s="15" t="inlineStr">
        <is>
          <t>New Delhi</t>
        </is>
      </c>
      <c r="I7" s="9" t="inlineStr"/>
      <c r="J7" s="9" t="inlineStr"/>
      <c r="K7" s="9" t="inlineStr"/>
      <c r="L7" s="21" t="inlineStr">
        <is>
          <t>@triptilahiri</t>
        </is>
      </c>
      <c r="M7" s="17" t="inlineStr">
        <is>
          <t>https://muckrack.com/tripti-lahiri</t>
        </is>
      </c>
      <c r="N7" s="17" t="inlineStr">
        <is>
          <t>https://x.com/triptilahiri</t>
        </is>
      </c>
      <c r="O7" s="15" t="inlineStr">
        <is>
          <t>Medium</t>
        </is>
      </c>
      <c r="P7" s="18" t="n">
        <v>5</v>
      </c>
      <c r="Q7" s="16" t="inlineStr">
        <is>
          <t>Medium</t>
        </is>
      </c>
      <c r="R7" s="16" t="inlineStr">
        <is>
          <t>New</t>
        </is>
      </c>
      <c r="S7" s="9" t="inlineStr"/>
      <c r="T7" s="16" t="inlineStr">
        <is>
          <t>Offer data-led briefing</t>
        </is>
      </c>
      <c r="U7" s="19">
        <f>IF(I7&lt;&gt;"","Email",IF(L7&lt;&gt;"","X / social","Research"))</f>
        <v/>
      </c>
      <c r="V7" s="20">
        <f>COUNTA(I7:L7)</f>
        <v/>
      </c>
      <c r="W7" s="20">
        <f>ROUND(P7*2 + IF(O7="High",2,IF(O7="Medium",1,0)) + IF(I7&lt;&gt;"",2,0) + IF(L7&lt;&gt;"",1,0) - IF(Q7="High",1,0),0)</f>
        <v/>
      </c>
      <c r="X7" s="15" t="inlineStr">
        <is>
          <t>India economy / geopolitics / enterprise</t>
        </is>
      </c>
      <c r="Y7" s="15" t="inlineStr">
        <is>
          <t>Prioritize for major India geopolitical/economic angles.</t>
        </is>
      </c>
      <c r="Z7" s="15" t="inlineStr">
        <is>
          <t>2026-04-15</t>
        </is>
      </c>
    </row>
    <row r="8">
      <c r="A8" s="7" t="n">
        <v>7</v>
      </c>
      <c r="B8" s="7" t="inlineStr">
        <is>
          <t>Shan Li</t>
        </is>
      </c>
      <c r="C8" s="7" t="inlineStr">
        <is>
          <t>The Wall Street Journal</t>
        </is>
      </c>
      <c r="D8" s="7" t="inlineStr">
        <is>
          <t>Journalist</t>
        </is>
      </c>
      <c r="E8" s="7" t="inlineStr">
        <is>
          <t>South Asia Correspondent</t>
        </is>
      </c>
      <c r="F8" s="7" t="inlineStr">
        <is>
          <t>India and the surrounding region</t>
        </is>
      </c>
      <c r="G8" s="7" t="inlineStr">
        <is>
          <t>South Asia</t>
        </is>
      </c>
      <c r="H8" s="7" t="inlineStr">
        <is>
          <t>New Delhi</t>
        </is>
      </c>
      <c r="I8" s="9" t="inlineStr"/>
      <c r="J8" s="9" t="inlineStr"/>
      <c r="K8" s="9" t="inlineStr"/>
      <c r="L8" s="10" t="inlineStr">
        <is>
          <t>@ByShanLi</t>
        </is>
      </c>
      <c r="M8" s="11" t="inlineStr">
        <is>
          <t>https://muckrack.com/byshanli</t>
        </is>
      </c>
      <c r="N8" s="11" t="inlineStr">
        <is>
          <t>https://x.com/ByShanLi</t>
        </is>
      </c>
      <c r="O8" s="7" t="inlineStr">
        <is>
          <t>Medium</t>
        </is>
      </c>
      <c r="P8" s="12" t="n">
        <v>4</v>
      </c>
      <c r="Q8" s="8" t="inlineStr">
        <is>
          <t>Medium</t>
        </is>
      </c>
      <c r="R8" s="8" t="inlineStr">
        <is>
          <t>New</t>
        </is>
      </c>
      <c r="S8" s="9" t="inlineStr"/>
      <c r="T8" s="8" t="inlineStr">
        <is>
          <t>Monitor and build context</t>
        </is>
      </c>
      <c r="U8" s="13">
        <f>IF(I8&lt;&gt;"","Email",IF(L8&lt;&gt;"","X / social","Research"))</f>
        <v/>
      </c>
      <c r="V8" s="14">
        <f>COUNTA(I8:L8)</f>
        <v/>
      </c>
      <c r="W8" s="14">
        <f>ROUND(P8*2 + IF(O8="High",2,IF(O8="Medium",1,0)) + IF(I8&lt;&gt;"",2,0) + IF(L8&lt;&gt;"",1,0) - IF(Q8="High",1,0),0)</f>
        <v/>
      </c>
      <c r="X8" s="7" t="inlineStr">
        <is>
          <t>India region / business / cross-border issues</t>
        </is>
      </c>
      <c r="Y8" s="7" t="inlineStr">
        <is>
          <t>Good fit for India + cross-border business/policy stories.</t>
        </is>
      </c>
      <c r="Z8" s="7" t="inlineStr">
        <is>
          <t>2026-04-15</t>
        </is>
      </c>
    </row>
    <row r="9">
      <c r="A9" s="15" t="n">
        <v>8</v>
      </c>
      <c r="B9" s="15" t="inlineStr">
        <is>
          <t>Krishna Pokharel</t>
        </is>
      </c>
      <c r="C9" s="15" t="inlineStr">
        <is>
          <t>The Wall Street Journal</t>
        </is>
      </c>
      <c r="D9" s="15" t="inlineStr">
        <is>
          <t>Journalist</t>
        </is>
      </c>
      <c r="E9" s="15" t="inlineStr">
        <is>
          <t>Reporter</t>
        </is>
      </c>
      <c r="F9" s="15" t="inlineStr">
        <is>
          <t>Life, politics, business, environment, religion and culture in India and the Himalayan region</t>
        </is>
      </c>
      <c r="G9" s="15" t="inlineStr">
        <is>
          <t>India / Himalayas</t>
        </is>
      </c>
      <c r="H9" s="15" t="inlineStr">
        <is>
          <t>New Delhi</t>
        </is>
      </c>
      <c r="I9" s="9" t="inlineStr"/>
      <c r="J9" s="9" t="inlineStr"/>
      <c r="K9" s="9" t="inlineStr"/>
      <c r="L9" s="21" t="inlineStr">
        <is>
          <t>@pokharelkrishna</t>
        </is>
      </c>
      <c r="M9" s="17" t="inlineStr">
        <is>
          <t>https://www.wsj.com/news/author/krishna-pokharel</t>
        </is>
      </c>
      <c r="N9" s="17" t="inlineStr">
        <is>
          <t>https://x.com/pokharelkrishna</t>
        </is>
      </c>
      <c r="O9" s="15" t="inlineStr">
        <is>
          <t>Medium</t>
        </is>
      </c>
      <c r="P9" s="18" t="n">
        <v>4</v>
      </c>
      <c r="Q9" s="16" t="inlineStr">
        <is>
          <t>Medium</t>
        </is>
      </c>
      <c r="R9" s="16" t="inlineStr">
        <is>
          <t>New</t>
        </is>
      </c>
      <c r="S9" s="9" t="inlineStr"/>
      <c r="T9" s="16" t="inlineStr">
        <is>
          <t>Offer field reporting context</t>
        </is>
      </c>
      <c r="U9" s="19">
        <f>IF(I9&lt;&gt;"","Email",IF(L9&lt;&gt;"","X / social","Research"))</f>
        <v/>
      </c>
      <c r="V9" s="20">
        <f>COUNTA(I9:L9)</f>
        <v/>
      </c>
      <c r="W9" s="20">
        <f>ROUND(P9*2 + IF(O9="High",2,IF(O9="Medium",1,0)) + IF(I9&lt;&gt;"",2,0) + IF(L9&lt;&gt;"",1,0) - IF(Q9="High",1,0),0)</f>
        <v/>
      </c>
      <c r="X9" s="15" t="inlineStr">
        <is>
          <t>India / Himalayas / society / environment</t>
        </is>
      </c>
      <c r="Y9" s="15" t="inlineStr">
        <is>
          <t>Useful for India/Himalayan region reporting and enterprise.</t>
        </is>
      </c>
      <c r="Z9" s="15" t="inlineStr">
        <is>
          <t>2026-04-15</t>
        </is>
      </c>
    </row>
    <row r="10">
      <c r="A10" s="7" t="n">
        <v>9</v>
      </c>
      <c r="B10" s="7" t="inlineStr">
        <is>
          <t>Pranshu Verma</t>
        </is>
      </c>
      <c r="C10" s="7" t="inlineStr">
        <is>
          <t>The Washington Post</t>
        </is>
      </c>
      <c r="D10" s="7" t="inlineStr">
        <is>
          <t>Journalist</t>
        </is>
      </c>
      <c r="E10" s="7" t="inlineStr">
        <is>
          <t>New Delhi Bureau Chief</t>
        </is>
      </c>
      <c r="F10" s="7" t="inlineStr">
        <is>
          <t>India, Bangladesh, Sri Lanka, Nepal and Bhutan</t>
        </is>
      </c>
      <c r="G10" s="7" t="inlineStr">
        <is>
          <t>South Asia</t>
        </is>
      </c>
      <c r="H10" s="7" t="inlineStr">
        <is>
          <t>New Delhi</t>
        </is>
      </c>
      <c r="I10" s="8" t="inlineStr">
        <is>
          <t>pranshu.verma@washpost.com</t>
        </is>
      </c>
      <c r="J10" s="9" t="inlineStr"/>
      <c r="K10" s="8" t="inlineStr">
        <is>
          <t>Signal: pverma.10</t>
        </is>
      </c>
      <c r="L10" s="10" t="inlineStr">
        <is>
          <t>@pranshuverma_</t>
        </is>
      </c>
      <c r="M10" s="11" t="inlineStr">
        <is>
          <t>https://www.washingtonpost.com/people/pranshu-verma/</t>
        </is>
      </c>
      <c r="N10" s="11" t="inlineStr">
        <is>
          <t>https://www.linkedin.com/posts/pranshuverma_as-of-today-i-can-start-reporting-on-india-activity-7358387673503334402-zXA2</t>
        </is>
      </c>
      <c r="O10" s="7" t="inlineStr">
        <is>
          <t>High</t>
        </is>
      </c>
      <c r="P10" s="12" t="n">
        <v>5</v>
      </c>
      <c r="Q10" s="8" t="inlineStr">
        <is>
          <t>Medium</t>
        </is>
      </c>
      <c r="R10" s="8" t="inlineStr">
        <is>
          <t>New</t>
        </is>
      </c>
      <c r="S10" s="9" t="inlineStr"/>
      <c r="T10" s="8" t="inlineStr">
        <is>
          <t>Intro email</t>
        </is>
      </c>
      <c r="U10" s="13">
        <f>IF(I10&lt;&gt;"","Email",IF(L10&lt;&gt;"","X / social","Research"))</f>
        <v/>
      </c>
      <c r="V10" s="14">
        <f>COUNTA(I10:L10)</f>
        <v/>
      </c>
      <c r="W10" s="14">
        <f>ROUND(P10*2 + IF(O10="High",2,IF(O10="Medium",1,0)) + IF(I10&lt;&gt;"",2,0) + IF(L10&lt;&gt;"",1,0) - IF(Q10="High",1,0),0)</f>
        <v/>
      </c>
      <c r="X10" s="7" t="inlineStr">
        <is>
          <t>India and neighborhood / diplomacy / major news</t>
        </is>
      </c>
      <c r="Y10" s="7" t="inlineStr">
        <is>
          <t>Explicitly invited tips in public LinkedIn post.</t>
        </is>
      </c>
      <c r="Z10" s="7" t="inlineStr">
        <is>
          <t>2026-04-15</t>
        </is>
      </c>
    </row>
    <row r="11">
      <c r="A11" s="15" t="n">
        <v>10</v>
      </c>
      <c r="B11" s="15" t="inlineStr">
        <is>
          <t>Karishma Mehrotra</t>
        </is>
      </c>
      <c r="C11" s="15" t="inlineStr">
        <is>
          <t>The Washington Post</t>
        </is>
      </c>
      <c r="D11" s="15" t="inlineStr">
        <is>
          <t>Journalist</t>
        </is>
      </c>
      <c r="E11" s="15" t="inlineStr">
        <is>
          <t>South Asia Correspondent</t>
        </is>
      </c>
      <c r="F11" s="15" t="inlineStr">
        <is>
          <t>South Asia; tech, climate, society</t>
        </is>
      </c>
      <c r="G11" s="15" t="inlineStr">
        <is>
          <t>South Asia</t>
        </is>
      </c>
      <c r="H11" s="15" t="inlineStr">
        <is>
          <t>India</t>
        </is>
      </c>
      <c r="I11" s="16" t="inlineStr">
        <is>
          <t>karishma.mehrotra.7@gmail.com</t>
        </is>
      </c>
      <c r="J11" s="9" t="inlineStr"/>
      <c r="K11" s="9" t="inlineStr"/>
      <c r="L11" s="21" t="inlineStr">
        <is>
          <t>@karishma__m__</t>
        </is>
      </c>
      <c r="M11" s="17" t="inlineStr">
        <is>
          <t>https://www.washingtonpost.com/people/karishma-mehrotra/</t>
        </is>
      </c>
      <c r="N11" s="17" t="inlineStr">
        <is>
          <t>https://www.karishmamehrotra.com/contact</t>
        </is>
      </c>
      <c r="O11" s="15" t="inlineStr">
        <is>
          <t>High</t>
        </is>
      </c>
      <c r="P11" s="18" t="n">
        <v>4</v>
      </c>
      <c r="Q11" s="16" t="inlineStr">
        <is>
          <t>Medium</t>
        </is>
      </c>
      <c r="R11" s="16" t="inlineStr">
        <is>
          <t>New</t>
        </is>
      </c>
      <c r="S11" s="9" t="inlineStr"/>
      <c r="T11" s="16" t="inlineStr">
        <is>
          <t>Intro email</t>
        </is>
      </c>
      <c r="U11" s="19">
        <f>IF(I11&lt;&gt;"","Email",IF(L11&lt;&gt;"","X / social","Research"))</f>
        <v/>
      </c>
      <c r="V11" s="20">
        <f>COUNTA(I11:L11)</f>
        <v/>
      </c>
      <c r="W11" s="20">
        <f>ROUND(P11*2 + IF(O11="High",2,IF(O11="Medium",1,0)) + IF(I11&lt;&gt;"",2,0) + IF(L11&lt;&gt;"",1,0) - IF(Q11="High",1,0),0)</f>
        <v/>
      </c>
      <c r="X11" s="15" t="inlineStr">
        <is>
          <t>India society / tech / political reporting</t>
        </is>
      </c>
      <c r="Y11" s="15" t="inlineStr">
        <is>
          <t>Personal site publishes contact email; good fit for nuanced India narratives.</t>
        </is>
      </c>
      <c r="Z11" s="15" t="inlineStr">
        <is>
          <t>2026-04-15</t>
        </is>
      </c>
    </row>
    <row r="12">
      <c r="A12" s="7" t="n">
        <v>11</v>
      </c>
      <c r="B12" s="7" t="inlineStr">
        <is>
          <t>Joanna Slater</t>
        </is>
      </c>
      <c r="C12" s="7" t="inlineStr">
        <is>
          <t>The Washington Post</t>
        </is>
      </c>
      <c r="D12" s="7" t="inlineStr">
        <is>
          <t>Journalist</t>
        </is>
      </c>
      <c r="E12" s="7" t="inlineStr">
        <is>
          <t>National Correspondent; former India Bureau Chief</t>
        </is>
      </c>
      <c r="F12" s="7" t="inlineStr">
        <is>
          <t>Former India bureau chief; international reporting background</t>
        </is>
      </c>
      <c r="G12" s="7" t="inlineStr">
        <is>
          <t>U.S. / former South Asia</t>
        </is>
      </c>
      <c r="H12" s="7" t="inlineStr">
        <is>
          <t>United States</t>
        </is>
      </c>
      <c r="I12" s="9" t="inlineStr"/>
      <c r="J12" s="9" t="inlineStr"/>
      <c r="K12" s="9" t="inlineStr"/>
      <c r="L12" s="10" t="inlineStr">
        <is>
          <t>@jslaternyc</t>
        </is>
      </c>
      <c r="M12" s="11" t="inlineStr">
        <is>
          <t>https://www.washingtonpost.com/people/joanna-slater/</t>
        </is>
      </c>
      <c r="N12" s="11" t="inlineStr">
        <is>
          <t>https://x.com/jslaternyc</t>
        </is>
      </c>
      <c r="O12" s="7" t="inlineStr">
        <is>
          <t>Medium</t>
        </is>
      </c>
      <c r="P12" s="12" t="n">
        <v>4</v>
      </c>
      <c r="Q12" s="8" t="inlineStr">
        <is>
          <t>Medium</t>
        </is>
      </c>
      <c r="R12" s="8" t="inlineStr">
        <is>
          <t>New</t>
        </is>
      </c>
      <c r="S12" s="9" t="inlineStr"/>
      <c r="T12" s="8" t="inlineStr">
        <is>
          <t>Monitor and maintain context</t>
        </is>
      </c>
      <c r="U12" s="13">
        <f>IF(I12&lt;&gt;"","Email",IF(L12&lt;&gt;"","X / social","Research"))</f>
        <v/>
      </c>
      <c r="V12" s="14">
        <f>COUNTA(I12:L12)</f>
        <v/>
      </c>
      <c r="W12" s="14">
        <f>ROUND(P12*2 + IF(O12="High",2,IF(O12="Medium",1,0)) + IF(I12&lt;&gt;"",2,0) + IF(L12&lt;&gt;"",1,0) - IF(Q12="High",1,0),0)</f>
        <v/>
      </c>
      <c r="X12" s="7" t="inlineStr">
        <is>
          <t>Former India bureau chief / feature reporting</t>
        </is>
      </c>
      <c r="Y12" s="7" t="inlineStr">
        <is>
          <t>Relevant for former India relationships and broader WaPo network.</t>
        </is>
      </c>
      <c r="Z12" s="7" t="inlineStr">
        <is>
          <t>2026-04-15</t>
        </is>
      </c>
    </row>
    <row r="13">
      <c r="A13" s="15" t="n">
        <v>12</v>
      </c>
      <c r="B13" s="15" t="inlineStr">
        <is>
          <t>Timothy Nerozzi</t>
        </is>
      </c>
      <c r="C13" s="15" t="inlineStr">
        <is>
          <t>Washington Examiner</t>
        </is>
      </c>
      <c r="D13" s="15" t="inlineStr">
        <is>
          <t>Journalist</t>
        </is>
      </c>
      <c r="E13" s="15" t="inlineStr">
        <is>
          <t>Senior Foreign Affairs Reporter</t>
        </is>
      </c>
      <c r="F13" s="15" t="inlineStr">
        <is>
          <t>Global policy and diplomacy</t>
        </is>
      </c>
      <c r="G13" s="15" t="inlineStr">
        <is>
          <t>Global</t>
        </is>
      </c>
      <c r="H13" s="15" t="inlineStr">
        <is>
          <t>Washington, DC</t>
        </is>
      </c>
      <c r="I13" s="9" t="inlineStr"/>
      <c r="J13" s="9" t="inlineStr"/>
      <c r="K13" s="9" t="inlineStr"/>
      <c r="L13" s="21" t="inlineStr">
        <is>
          <t>@TimothyNerozzi</t>
        </is>
      </c>
      <c r="M13" s="17" t="inlineStr">
        <is>
          <t>https://www.washingtonexaminer.com/author/timothy-nerozzi/</t>
        </is>
      </c>
      <c r="N13" s="17" t="inlineStr">
        <is>
          <t>https://x.com/TimothyNerozzi</t>
        </is>
      </c>
      <c r="O13" s="15" t="inlineStr">
        <is>
          <t>Medium</t>
        </is>
      </c>
      <c r="P13" s="18" t="n">
        <v>3</v>
      </c>
      <c r="Q13" s="16" t="inlineStr">
        <is>
          <t>Medium</t>
        </is>
      </c>
      <c r="R13" s="16" t="inlineStr">
        <is>
          <t>New</t>
        </is>
      </c>
      <c r="S13" s="9" t="inlineStr"/>
      <c r="T13" s="16" t="inlineStr">
        <is>
          <t>Offer security angle briefing</t>
        </is>
      </c>
      <c r="U13" s="19">
        <f>IF(I13&lt;&gt;"","Email",IF(L13&lt;&gt;"","X / social","Research"))</f>
        <v/>
      </c>
      <c r="V13" s="20">
        <f>COUNTA(I13:L13)</f>
        <v/>
      </c>
      <c r="W13" s="20">
        <f>ROUND(P13*2 + IF(O13="High",2,IF(O13="Medium",1,0)) + IF(I13&lt;&gt;"",2,0) + IF(L13&lt;&gt;"",1,0) - IF(Q13="High",1,0),0)</f>
        <v/>
      </c>
      <c r="X13" s="15" t="inlineStr">
        <is>
          <t>Foreign affairs / diplomacy</t>
        </is>
      </c>
      <c r="Y13" s="15" t="inlineStr">
        <is>
          <t>Good fit for diplomacy or foreign policy hooks.</t>
        </is>
      </c>
      <c r="Z13" s="15" t="inlineStr">
        <is>
          <t>2026-04-15</t>
        </is>
      </c>
    </row>
    <row r="14">
      <c r="A14" s="7" t="n">
        <v>13</v>
      </c>
      <c r="B14" s="7" t="inlineStr">
        <is>
          <t>Brady Knox</t>
        </is>
      </c>
      <c r="C14" s="7" t="inlineStr">
        <is>
          <t>Washington Examiner</t>
        </is>
      </c>
      <c r="D14" s="7" t="inlineStr">
        <is>
          <t>Journalist</t>
        </is>
      </c>
      <c r="E14" s="7" t="inlineStr">
        <is>
          <t>Foreign Affairs Reporter</t>
        </is>
      </c>
      <c r="F14" s="7" t="inlineStr">
        <is>
          <t>Russia, Eastern Europe, foreign affairs</t>
        </is>
      </c>
      <c r="G14" s="7" t="inlineStr">
        <is>
          <t>Global</t>
        </is>
      </c>
      <c r="H14" s="7" t="inlineStr">
        <is>
          <t>Washington, DC</t>
        </is>
      </c>
      <c r="I14" s="9" t="inlineStr"/>
      <c r="J14" s="9" t="inlineStr"/>
      <c r="K14" s="9" t="inlineStr"/>
      <c r="L14" s="10" t="inlineStr">
        <is>
          <t>@Brady_k6</t>
        </is>
      </c>
      <c r="M14" s="11" t="inlineStr">
        <is>
          <t>https://www.washingtonexaminer.com/author/brady-knox/</t>
        </is>
      </c>
      <c r="N14" s="11" t="inlineStr">
        <is>
          <t>https://x.com/Brady_k6</t>
        </is>
      </c>
      <c r="O14" s="7" t="inlineStr">
        <is>
          <t>Medium</t>
        </is>
      </c>
      <c r="P14" s="12" t="n">
        <v>3</v>
      </c>
      <c r="Q14" s="8" t="inlineStr">
        <is>
          <t>Medium</t>
        </is>
      </c>
      <c r="R14" s="8" t="inlineStr">
        <is>
          <t>New</t>
        </is>
      </c>
      <c r="S14" s="9" t="inlineStr"/>
      <c r="T14" s="8" t="inlineStr">
        <is>
          <t>Monitor and build relevance</t>
        </is>
      </c>
      <c r="U14" s="13">
        <f>IF(I14&lt;&gt;"","Email",IF(L14&lt;&gt;"","X / social","Research"))</f>
        <v/>
      </c>
      <c r="V14" s="14">
        <f>COUNTA(I14:L14)</f>
        <v/>
      </c>
      <c r="W14" s="14">
        <f>ROUND(P14*2 + IF(O14="High",2,IF(O14="Medium",1,0)) + IF(I14&lt;&gt;"",2,0) + IF(L14&lt;&gt;"",1,0) - IF(Q14="High",1,0),0)</f>
        <v/>
      </c>
      <c r="X14" s="7" t="inlineStr">
        <is>
          <t>Foreign affairs / security</t>
        </is>
      </c>
      <c r="Y14" s="7" t="inlineStr">
        <is>
          <t>Best for geopolitical/security angles rather than domestic India stories.</t>
        </is>
      </c>
      <c r="Z14" s="7" t="inlineStr">
        <is>
          <t>2026-04-15</t>
        </is>
      </c>
    </row>
    <row r="15">
      <c r="A15" s="15" t="n">
        <v>14</v>
      </c>
      <c r="B15" s="15" t="inlineStr">
        <is>
          <t>Tom Rogan</t>
        </is>
      </c>
      <c r="C15" s="15" t="inlineStr">
        <is>
          <t>Washington Examiner</t>
        </is>
      </c>
      <c r="D15" s="15" t="inlineStr">
        <is>
          <t>Commentary / Journalist</t>
        </is>
      </c>
      <c r="E15" s="15" t="inlineStr">
        <is>
          <t>Commentary Writer</t>
        </is>
      </c>
      <c r="F15" s="15" t="inlineStr">
        <is>
          <t>Security and intelligence involving China, Russia, and the Middle East</t>
        </is>
      </c>
      <c r="G15" s="15" t="inlineStr">
        <is>
          <t>Global</t>
        </is>
      </c>
      <c r="H15" s="15" t="inlineStr">
        <is>
          <t>Washington, DC</t>
        </is>
      </c>
      <c r="I15" s="16" t="inlineStr">
        <is>
          <t>trogan@washingtonexaminer.com</t>
        </is>
      </c>
      <c r="J15" s="9" t="inlineStr"/>
      <c r="K15" s="16" t="inlineStr">
        <is>
          <t>Encrypted: tjrogan@protonmail.com</t>
        </is>
      </c>
      <c r="L15" s="21" t="inlineStr">
        <is>
          <t>@TomRtweets</t>
        </is>
      </c>
      <c r="M15" s="17" t="inlineStr">
        <is>
          <t>https://www.washingtonexaminer.com/author/tom-rogan/</t>
        </is>
      </c>
      <c r="N15" s="17" t="inlineStr">
        <is>
          <t>https://www.washingtonexaminer.com/author/tom-rogan/</t>
        </is>
      </c>
      <c r="O15" s="15" t="inlineStr">
        <is>
          <t>High</t>
        </is>
      </c>
      <c r="P15" s="18" t="n">
        <v>4</v>
      </c>
      <c r="Q15" s="16" t="inlineStr">
        <is>
          <t>High</t>
        </is>
      </c>
      <c r="R15" s="16" t="inlineStr">
        <is>
          <t>New</t>
        </is>
      </c>
      <c r="S15" s="9" t="inlineStr"/>
      <c r="T15" s="16" t="inlineStr">
        <is>
          <t>Use if opinion/security framing is relevant</t>
        </is>
      </c>
      <c r="U15" s="19">
        <f>IF(I15&lt;&gt;"","Email",IF(L15&lt;&gt;"","X / social","Research"))</f>
        <v/>
      </c>
      <c r="V15" s="20">
        <f>COUNTA(I15:L15)</f>
        <v/>
      </c>
      <c r="W15" s="20">
        <f>ROUND(P15*2 + IF(O15="High",2,IF(O15="Medium",1,0)) + IF(I15&lt;&gt;"",2,0) + IF(L15&lt;&gt;"",1,0) - IF(Q15="High",1,0),0)</f>
        <v/>
      </c>
      <c r="X15" s="15" t="inlineStr">
        <is>
          <t>Security / China / Russia / Middle East</t>
        </is>
      </c>
      <c r="Y15" s="15" t="inlineStr">
        <is>
          <t>Opinion/commentary stakeholder; outreach should be tightly evidence-based.</t>
        </is>
      </c>
      <c r="Z15" s="15" t="inlineStr">
        <is>
          <t>2026-04-15</t>
        </is>
      </c>
    </row>
    <row r="16">
      <c r="A16" s="7" t="n">
        <v>15</v>
      </c>
      <c r="B16" s="7" t="inlineStr">
        <is>
          <t>Jennifer Griffin</t>
        </is>
      </c>
      <c r="C16" s="7" t="inlineStr">
        <is>
          <t>FOX News</t>
        </is>
      </c>
      <c r="D16" s="7" t="inlineStr">
        <is>
          <t>Journalist</t>
        </is>
      </c>
      <c r="E16" s="7" t="inlineStr">
        <is>
          <t>Chief National Security Correspondent</t>
        </is>
      </c>
      <c r="F16" s="7" t="inlineStr">
        <is>
          <t>National security, military, world</t>
        </is>
      </c>
      <c r="G16" s="7" t="inlineStr">
        <is>
          <t>Global / U.S.</t>
        </is>
      </c>
      <c r="H16" s="7" t="inlineStr">
        <is>
          <t>Washington, DC</t>
        </is>
      </c>
      <c r="I16" s="9" t="inlineStr"/>
      <c r="J16" s="9" t="inlineStr"/>
      <c r="K16" s="9" t="inlineStr"/>
      <c r="L16" s="10" t="inlineStr">
        <is>
          <t>@JenGriffinFNC</t>
        </is>
      </c>
      <c r="M16" s="11" t="inlineStr">
        <is>
          <t>https://www.foxnews.com/person/g/jennifer-griffin</t>
        </is>
      </c>
      <c r="N16" s="11" t="inlineStr">
        <is>
          <t>https://x.com/JenGriffinFNC</t>
        </is>
      </c>
      <c r="O16" s="7" t="inlineStr">
        <is>
          <t>Medium</t>
        </is>
      </c>
      <c r="P16" s="12" t="n">
        <v>5</v>
      </c>
      <c r="Q16" s="8" t="inlineStr">
        <is>
          <t>High</t>
        </is>
      </c>
      <c r="R16" s="8" t="inlineStr">
        <is>
          <t>New</t>
        </is>
      </c>
      <c r="S16" s="9" t="inlineStr"/>
      <c r="T16" s="8" t="inlineStr">
        <is>
          <t>Pitch only with strong defense/security peg</t>
        </is>
      </c>
      <c r="U16" s="13">
        <f>IF(I16&lt;&gt;"","Email",IF(L16&lt;&gt;"","X / social","Research"))</f>
        <v/>
      </c>
      <c r="V16" s="14">
        <f>COUNTA(I16:L16)</f>
        <v/>
      </c>
      <c r="W16" s="14">
        <f>ROUND(P16*2 + IF(O16="High",2,IF(O16="Medium",1,0)) + IF(I16&lt;&gt;"",2,0) + IF(L16&lt;&gt;"",1,0) - IF(Q16="High",1,0),0)</f>
        <v/>
      </c>
      <c r="X16" s="7" t="inlineStr">
        <is>
          <t>National security / military / conflicts</t>
        </is>
      </c>
      <c r="Y16" s="7" t="inlineStr">
        <is>
          <t>Best for hard security, military, or crisis angles.</t>
        </is>
      </c>
      <c r="Z16" s="7" t="inlineStr">
        <is>
          <t>2026-04-15</t>
        </is>
      </c>
    </row>
    <row r="17">
      <c r="A17" s="15" t="n">
        <v>16</v>
      </c>
      <c r="B17" s="15" t="inlineStr">
        <is>
          <t>Trey Yingst</t>
        </is>
      </c>
      <c r="C17" s="15" t="inlineStr">
        <is>
          <t>FOX News</t>
        </is>
      </c>
      <c r="D17" s="15" t="inlineStr">
        <is>
          <t>Journalist</t>
        </is>
      </c>
      <c r="E17" s="15" t="inlineStr">
        <is>
          <t>Chief Foreign Correspondent</t>
        </is>
      </c>
      <c r="F17" s="15" t="inlineStr">
        <is>
          <t>World and conflict reporting</t>
        </is>
      </c>
      <c r="G17" s="15" t="inlineStr">
        <is>
          <t>Global</t>
        </is>
      </c>
      <c r="H17" s="15" t="inlineStr">
        <is>
          <t>International</t>
        </is>
      </c>
      <c r="I17" s="9" t="inlineStr"/>
      <c r="J17" s="9" t="inlineStr"/>
      <c r="K17" s="9" t="inlineStr"/>
      <c r="L17" s="21" t="inlineStr">
        <is>
          <t>@TreyYingst</t>
        </is>
      </c>
      <c r="M17" s="17" t="inlineStr">
        <is>
          <t>https://muckrack.com/trey-yingst</t>
        </is>
      </c>
      <c r="N17" s="17" t="inlineStr">
        <is>
          <t>https://x.com/TreyYingst</t>
        </is>
      </c>
      <c r="O17" s="15" t="inlineStr">
        <is>
          <t>Medium</t>
        </is>
      </c>
      <c r="P17" s="18" t="n">
        <v>5</v>
      </c>
      <c r="Q17" s="16" t="inlineStr">
        <is>
          <t>High</t>
        </is>
      </c>
      <c r="R17" s="16" t="inlineStr">
        <is>
          <t>New</t>
        </is>
      </c>
      <c r="S17" s="9" t="inlineStr"/>
      <c r="T17" s="16" t="inlineStr">
        <is>
          <t>Use for major conflict/foreign policy developments</t>
        </is>
      </c>
      <c r="U17" s="19">
        <f>IF(I17&lt;&gt;"","Email",IF(L17&lt;&gt;"","X / social","Research"))</f>
        <v/>
      </c>
      <c r="V17" s="20">
        <f>COUNTA(I17:L17)</f>
        <v/>
      </c>
      <c r="W17" s="20">
        <f>ROUND(P17*2 + IF(O17="High",2,IF(O17="Medium",1,0)) + IF(I17&lt;&gt;"",2,0) + IF(L17&lt;&gt;"",1,0) - IF(Q17="High",1,0),0)</f>
        <v/>
      </c>
      <c r="X17" s="15" t="inlineStr">
        <is>
          <t>War / conflict / foreign desk</t>
        </is>
      </c>
      <c r="Y17" s="15" t="inlineStr">
        <is>
          <t>Broadcast-first foreign correspondent; prioritize only for big breaking hooks.</t>
        </is>
      </c>
      <c r="Z17" s="15" t="inlineStr">
        <is>
          <t>2026-04-15</t>
        </is>
      </c>
    </row>
    <row r="18">
      <c r="A18" s="7" t="n">
        <v>17</v>
      </c>
      <c r="B18" s="7" t="inlineStr">
        <is>
          <t>Sheikh Saaliq</t>
        </is>
      </c>
      <c r="C18" s="7" t="inlineStr">
        <is>
          <t>Associated Press</t>
        </is>
      </c>
      <c r="D18" s="7" t="inlineStr">
        <is>
          <t>Journalist</t>
        </is>
      </c>
      <c r="E18" s="7" t="inlineStr">
        <is>
          <t>India Reporter / South Asia Correspondent</t>
        </is>
      </c>
      <c r="F18" s="7" t="inlineStr">
        <is>
          <t>Politics, democracy, conflict and religion across India and South Asia</t>
        </is>
      </c>
      <c r="G18" s="7" t="inlineStr">
        <is>
          <t>India / South Asia</t>
        </is>
      </c>
      <c r="H18" s="7" t="inlineStr">
        <is>
          <t>New Delhi</t>
        </is>
      </c>
      <c r="I18" s="9" t="inlineStr"/>
      <c r="J18" s="9" t="inlineStr"/>
      <c r="K18" s="9" t="inlineStr"/>
      <c r="L18" s="10" t="inlineStr">
        <is>
          <t>@Sheikh_Saaliq</t>
        </is>
      </c>
      <c r="M18" s="11" t="inlineStr">
        <is>
          <t>https://apnews.com/author/sheikh-saaliq</t>
        </is>
      </c>
      <c r="N18" s="11" t="inlineStr">
        <is>
          <t>https://x.com/Sheikh_Saaliq</t>
        </is>
      </c>
      <c r="O18" s="7" t="inlineStr">
        <is>
          <t>Medium</t>
        </is>
      </c>
      <c r="P18" s="12" t="n">
        <v>4</v>
      </c>
      <c r="Q18" s="8" t="inlineStr">
        <is>
          <t>Medium</t>
        </is>
      </c>
      <c r="R18" s="8" t="inlineStr">
        <is>
          <t>New</t>
        </is>
      </c>
      <c r="S18" s="9" t="inlineStr"/>
      <c r="T18" s="8" t="inlineStr">
        <is>
          <t>Offer facts, timelines, and documentation</t>
        </is>
      </c>
      <c r="U18" s="13">
        <f>IF(I18&lt;&gt;"","Email",IF(L18&lt;&gt;"","X / social","Research"))</f>
        <v/>
      </c>
      <c r="V18" s="14">
        <f>COUNTA(I18:L18)</f>
        <v/>
      </c>
      <c r="W18" s="14">
        <f>ROUND(P18*2 + IF(O18="High",2,IF(O18="Medium",1,0)) + IF(I18&lt;&gt;"",2,0) + IF(L18&lt;&gt;"",1,0) - IF(Q18="High",1,0),0)</f>
        <v/>
      </c>
      <c r="X18" s="7" t="inlineStr">
        <is>
          <t>India politics / conflict / religion / AP wire</t>
        </is>
      </c>
      <c r="Y18" s="7" t="inlineStr">
        <is>
          <t>AP wire reach makes him high leverage despite limited public contact details.</t>
        </is>
      </c>
      <c r="Z18" s="7" t="inlineStr">
        <is>
          <t>2026-04-15</t>
        </is>
      </c>
    </row>
    <row r="19">
      <c r="A19" s="15" t="n">
        <v>18</v>
      </c>
      <c r="B19" s="15" t="inlineStr">
        <is>
          <t>Sibi Arasu</t>
        </is>
      </c>
      <c r="C19" s="15" t="inlineStr">
        <is>
          <t>Associated Press</t>
        </is>
      </c>
      <c r="D19" s="15" t="inlineStr">
        <is>
          <t>Journalist</t>
        </is>
      </c>
      <c r="E19" s="15" t="inlineStr">
        <is>
          <t>Climate Journalist</t>
        </is>
      </c>
      <c r="F19" s="15" t="inlineStr">
        <is>
          <t>Climate change from India and South Asia</t>
        </is>
      </c>
      <c r="G19" s="15" t="inlineStr">
        <is>
          <t>India / South Asia</t>
        </is>
      </c>
      <c r="H19" s="15" t="inlineStr">
        <is>
          <t>India</t>
        </is>
      </c>
      <c r="I19" s="16" t="inlineStr">
        <is>
          <t>sarasu@ap.org</t>
        </is>
      </c>
      <c r="J19" s="9" t="inlineStr"/>
      <c r="K19" s="9" t="inlineStr"/>
      <c r="L19" s="21" t="inlineStr">
        <is>
          <t>@sibi123</t>
        </is>
      </c>
      <c r="M19" s="17" t="inlineStr">
        <is>
          <t>https://apnews.com/author/sibi-arasu</t>
        </is>
      </c>
      <c r="N19" s="17" t="inlineStr">
        <is>
          <t>https://x.com/sibi123</t>
        </is>
      </c>
      <c r="O19" s="15" t="inlineStr">
        <is>
          <t>High</t>
        </is>
      </c>
      <c r="P19" s="18" t="n">
        <v>4</v>
      </c>
      <c r="Q19" s="16" t="inlineStr">
        <is>
          <t>Low</t>
        </is>
      </c>
      <c r="R19" s="16" t="inlineStr">
        <is>
          <t>New</t>
        </is>
      </c>
      <c r="S19" s="9" t="inlineStr"/>
      <c r="T19" s="16" t="inlineStr">
        <is>
          <t>Intro email with data-heavy climate/energy angle</t>
        </is>
      </c>
      <c r="U19" s="19">
        <f>IF(I19&lt;&gt;"","Email",IF(L19&lt;&gt;"","X / social","Research"))</f>
        <v/>
      </c>
      <c r="V19" s="20">
        <f>COUNTA(I19:L19)</f>
        <v/>
      </c>
      <c r="W19" s="20">
        <f>ROUND(P19*2 + IF(O19="High",2,IF(O19="Medium",1,0)) + IF(I19&lt;&gt;"",2,0) + IF(L19&lt;&gt;"",1,0) - IF(Q19="High",1,0),0)</f>
        <v/>
      </c>
      <c r="X19" s="15" t="inlineStr">
        <is>
          <t>Climate / energy transition / India</t>
        </is>
      </c>
      <c r="Y19" s="15" t="inlineStr">
        <is>
          <t>Public email self-listed in X/Muck Rack snippet.</t>
        </is>
      </c>
      <c r="Z19" s="15" t="inlineStr">
        <is>
          <t>2026-04-15</t>
        </is>
      </c>
    </row>
    <row r="20">
      <c r="A20" s="7" t="n">
        <v>19</v>
      </c>
      <c r="B20" s="7" t="inlineStr">
        <is>
          <t>Aijaz Hussain</t>
        </is>
      </c>
      <c r="C20" s="7" t="inlineStr">
        <is>
          <t>Associated Press</t>
        </is>
      </c>
      <c r="D20" s="7" t="inlineStr">
        <is>
          <t>Journalist</t>
        </is>
      </c>
      <c r="E20" s="7" t="inlineStr">
        <is>
          <t>India Reporter</t>
        </is>
      </c>
      <c r="F20" s="7" t="inlineStr">
        <is>
          <t>Kashmir conflict, Indian politics and strategic affairs, and climate</t>
        </is>
      </c>
      <c r="G20" s="7" t="inlineStr">
        <is>
          <t>India / Kashmir</t>
        </is>
      </c>
      <c r="H20" s="7" t="inlineStr">
        <is>
          <t>India</t>
        </is>
      </c>
      <c r="I20" s="9" t="inlineStr"/>
      <c r="J20" s="9" t="inlineStr"/>
      <c r="K20" s="9" t="inlineStr"/>
      <c r="L20" s="10" t="inlineStr">
        <is>
          <t>@hussain_aijaz</t>
        </is>
      </c>
      <c r="M20" s="11" t="inlineStr">
        <is>
          <t>https://apnews.com/author/aijaz-hussain</t>
        </is>
      </c>
      <c r="N20" s="11" t="inlineStr">
        <is>
          <t>https://x.com/hussain_aijaz</t>
        </is>
      </c>
      <c r="O20" s="7" t="inlineStr">
        <is>
          <t>Medium</t>
        </is>
      </c>
      <c r="P20" s="12" t="n">
        <v>4</v>
      </c>
      <c r="Q20" s="8" t="inlineStr">
        <is>
          <t>Medium</t>
        </is>
      </c>
      <c r="R20" s="8" t="inlineStr">
        <is>
          <t>New</t>
        </is>
      </c>
      <c r="S20" s="9" t="inlineStr"/>
      <c r="T20" s="8" t="inlineStr">
        <is>
          <t>Use for Kashmir / strategic affairs context</t>
        </is>
      </c>
      <c r="U20" s="13">
        <f>IF(I20&lt;&gt;"","Email",IF(L20&lt;&gt;"","X / social","Research"))</f>
        <v/>
      </c>
      <c r="V20" s="14">
        <f>COUNTA(I20:L20)</f>
        <v/>
      </c>
      <c r="W20" s="14">
        <f>ROUND(P20*2 + IF(O20="High",2,IF(O20="Medium",1,0)) + IF(I20&lt;&gt;"",2,0) + IF(L20&lt;&gt;"",1,0) - IF(Q20="High",1,0),0)</f>
        <v/>
      </c>
      <c r="X20" s="7" t="inlineStr">
        <is>
          <t>Kashmir / strategic affairs / AP wire</t>
        </is>
      </c>
      <c r="Y20" s="7" t="inlineStr">
        <is>
          <t>Strong AP contact for Kashmir and strategic affairs.</t>
        </is>
      </c>
      <c r="Z20" s="7" t="inlineStr">
        <is>
          <t>2026-04-15</t>
        </is>
      </c>
    </row>
    <row r="21">
      <c r="A21" s="15" t="n">
        <v>20</v>
      </c>
      <c r="B21" s="15" t="inlineStr">
        <is>
          <t>Swati Gupta</t>
        </is>
      </c>
      <c r="C21" s="15" t="inlineStr">
        <is>
          <t>Bloomberg</t>
        </is>
      </c>
      <c r="D21" s="15" t="inlineStr">
        <is>
          <t>Journalist</t>
        </is>
      </c>
      <c r="E21" s="15" t="inlineStr">
        <is>
          <t>South Asia Political Reporter</t>
        </is>
      </c>
      <c r="F21" s="15" t="inlineStr">
        <is>
          <t>South Asia politics</t>
        </is>
      </c>
      <c r="G21" s="15" t="inlineStr">
        <is>
          <t>South Asia</t>
        </is>
      </c>
      <c r="H21" s="15" t="inlineStr">
        <is>
          <t>India</t>
        </is>
      </c>
      <c r="I21" s="16" t="inlineStr">
        <is>
          <t>sgupta1048@bloomberg.net</t>
        </is>
      </c>
      <c r="J21" s="9" t="inlineStr"/>
      <c r="K21" s="9" t="inlineStr"/>
      <c r="L21" s="21" t="inlineStr">
        <is>
          <t>@sw_gs</t>
        </is>
      </c>
      <c r="M21" s="17" t="inlineStr">
        <is>
          <t>https://www.bloomberg.com/authors/AWZfRQwLDfI/swati-gupta</t>
        </is>
      </c>
      <c r="N21" s="17" t="inlineStr">
        <is>
          <t>https://x.com/sw_gs</t>
        </is>
      </c>
      <c r="O21" s="15" t="inlineStr">
        <is>
          <t>High</t>
        </is>
      </c>
      <c r="P21" s="18" t="n">
        <v>4</v>
      </c>
      <c r="Q21" s="16" t="inlineStr">
        <is>
          <t>Low</t>
        </is>
      </c>
      <c r="R21" s="16" t="inlineStr">
        <is>
          <t>New</t>
        </is>
      </c>
      <c r="S21" s="9" t="inlineStr"/>
      <c r="T21" s="16" t="inlineStr">
        <is>
          <t>Intro email</t>
        </is>
      </c>
      <c r="U21" s="19">
        <f>IF(I21&lt;&gt;"","Email",IF(L21&lt;&gt;"","X / social","Research"))</f>
        <v/>
      </c>
      <c r="V21" s="20">
        <f>COUNTA(I21:L21)</f>
        <v/>
      </c>
      <c r="W21" s="20">
        <f>ROUND(P21*2 + IF(O21="High",2,IF(O21="Medium",1,0)) + IF(I21&lt;&gt;"",2,0) + IF(L21&lt;&gt;"",1,0) - IF(Q21="High",1,0),0)</f>
        <v/>
      </c>
      <c r="X21" s="15" t="inlineStr">
        <is>
          <t>South Asia politics / regulation</t>
        </is>
      </c>
      <c r="Y21" s="15" t="inlineStr">
        <is>
          <t>Good for India politics/regulatory angles.</t>
        </is>
      </c>
      <c r="Z21" s="15" t="inlineStr">
        <is>
          <t>2026-04-15</t>
        </is>
      </c>
    </row>
    <row r="22">
      <c r="A22" s="7" t="n">
        <v>21</v>
      </c>
      <c r="B22" s="7" t="inlineStr">
        <is>
          <t>Rajesh Kumar Singh</t>
        </is>
      </c>
      <c r="C22" s="7" t="inlineStr">
        <is>
          <t>Bloomberg</t>
        </is>
      </c>
      <c r="D22" s="7" t="inlineStr">
        <is>
          <t>Journalist</t>
        </is>
      </c>
      <c r="E22" s="7" t="inlineStr">
        <is>
          <t>Reporter</t>
        </is>
      </c>
      <c r="F22" s="7" t="inlineStr">
        <is>
          <t>India energy and commodities</t>
        </is>
      </c>
      <c r="G22" s="7" t="inlineStr">
        <is>
          <t>India</t>
        </is>
      </c>
      <c r="H22" s="7" t="inlineStr">
        <is>
          <t>New Delhi</t>
        </is>
      </c>
      <c r="I22" s="8" t="inlineStr">
        <is>
          <t>rsingh133@bloomberg.net</t>
        </is>
      </c>
      <c r="J22" s="9" t="inlineStr"/>
      <c r="K22" s="9" t="inlineStr"/>
      <c r="L22" s="10" t="inlineStr">
        <is>
          <t>@rajeshsing13</t>
        </is>
      </c>
      <c r="M22" s="11" t="inlineStr">
        <is>
          <t>https://www.bloomberg.com/authors/AQMyDU0Qjbo/rajesh-kumar-singh</t>
        </is>
      </c>
      <c r="N22" s="11" t="inlineStr">
        <is>
          <t>https://news.bloomberglaw.com/author/rajesh-kumar-singh-16986637</t>
        </is>
      </c>
      <c r="O22" s="7" t="inlineStr">
        <is>
          <t>High</t>
        </is>
      </c>
      <c r="P22" s="12" t="n">
        <v>4</v>
      </c>
      <c r="Q22" s="8" t="inlineStr">
        <is>
          <t>Low</t>
        </is>
      </c>
      <c r="R22" s="8" t="inlineStr">
        <is>
          <t>New</t>
        </is>
      </c>
      <c r="S22" s="9" t="inlineStr"/>
      <c r="T22" s="8" t="inlineStr">
        <is>
          <t>Intro email with market/energy hook</t>
        </is>
      </c>
      <c r="U22" s="13">
        <f>IF(I22&lt;&gt;"","Email",IF(L22&lt;&gt;"","X / social","Research"))</f>
        <v/>
      </c>
      <c r="V22" s="14">
        <f>COUNTA(I22:L22)</f>
        <v/>
      </c>
      <c r="W22" s="14">
        <f>ROUND(P22*2 + IF(O22="High",2,IF(O22="Medium",1,0)) + IF(I22&lt;&gt;"",2,0) + IF(L22&lt;&gt;"",1,0) - IF(Q22="High",1,0),0)</f>
        <v/>
      </c>
      <c r="X22" s="7" t="inlineStr">
        <is>
          <t>Energy / commodities / policy / India</t>
        </is>
      </c>
      <c r="Y22" s="7" t="inlineStr">
        <is>
          <t>Public Bloomberg law author page includes direct email.</t>
        </is>
      </c>
      <c r="Z22" s="7" t="inlineStr">
        <is>
          <t>2026-04-15</t>
        </is>
      </c>
    </row>
    <row r="23">
      <c r="A23" s="15" t="n">
        <v>22</v>
      </c>
      <c r="B23" s="15" t="inlineStr">
        <is>
          <t>Advait Palepu</t>
        </is>
      </c>
      <c r="C23" s="15" t="inlineStr">
        <is>
          <t>Bloomberg</t>
        </is>
      </c>
      <c r="D23" s="15" t="inlineStr">
        <is>
          <t>Journalist</t>
        </is>
      </c>
      <c r="E23" s="15" t="inlineStr">
        <is>
          <t>India Wealth Reporter</t>
        </is>
      </c>
      <c r="F23" s="15" t="inlineStr">
        <is>
          <t>India wealth, capital flows, tax and policy</t>
        </is>
      </c>
      <c r="G23" s="15" t="inlineStr">
        <is>
          <t>India</t>
        </is>
      </c>
      <c r="H23" s="15" t="inlineStr">
        <is>
          <t>India</t>
        </is>
      </c>
      <c r="I23" s="16" t="inlineStr">
        <is>
          <t>advait.prx@protonmail.me</t>
        </is>
      </c>
      <c r="J23" s="9" t="inlineStr"/>
      <c r="K23" s="9" t="inlineStr"/>
      <c r="L23" s="21" t="inlineStr">
        <is>
          <t>@advait_px</t>
        </is>
      </c>
      <c r="M23" s="17" t="inlineStr">
        <is>
          <t>https://www.bloomberg.com/authors/AWRasSKfZpM/advait-palepu</t>
        </is>
      </c>
      <c r="N23" s="17" t="inlineStr">
        <is>
          <t>https://x.com/advait_px</t>
        </is>
      </c>
      <c r="O23" s="15" t="inlineStr">
        <is>
          <t>High</t>
        </is>
      </c>
      <c r="P23" s="18" t="n">
        <v>3</v>
      </c>
      <c r="Q23" s="16" t="inlineStr">
        <is>
          <t>Low</t>
        </is>
      </c>
      <c r="R23" s="16" t="inlineStr">
        <is>
          <t>New</t>
        </is>
      </c>
      <c r="S23" s="9" t="inlineStr"/>
      <c r="T23" s="16" t="inlineStr">
        <is>
          <t>Intro email with markets angle</t>
        </is>
      </c>
      <c r="U23" s="19">
        <f>IF(I23&lt;&gt;"","Email",IF(L23&lt;&gt;"","X / social","Research"))</f>
        <v/>
      </c>
      <c r="V23" s="20">
        <f>COUNTA(I23:L23)</f>
        <v/>
      </c>
      <c r="W23" s="20">
        <f>ROUND(P23*2 + IF(O23="High",2,IF(O23="Medium",1,0)) + IF(I23&lt;&gt;"",2,0) + IF(L23&lt;&gt;"",1,0) - IF(Q23="High",1,0),0)</f>
        <v/>
      </c>
      <c r="X23" s="15" t="inlineStr">
        <is>
          <t>Wealth / tax / global capital / India</t>
        </is>
      </c>
      <c r="Y23" s="15" t="inlineStr">
        <is>
          <t>Tip email is self-published in X profile snippet.</t>
        </is>
      </c>
      <c r="Z23" s="15" t="inlineStr">
        <is>
          <t>2026-04-15</t>
        </is>
      </c>
    </row>
  </sheetData>
  <autoFilter ref="A1:Z23"/>
  <conditionalFormatting sqref="W2:W23">
    <cfRule type="colorScale" priority="1">
      <colorScale>
        <cfvo type="num" val="4"/>
        <cfvo type="num" val="8"/>
        <cfvo type="num" val="12"/>
        <color rgb="00FCE4D6"/>
        <color rgb="00FFF2CC"/>
        <color rgb="00D9EAD3"/>
      </colorScale>
    </cfRule>
  </conditionalFormatting>
  <conditionalFormatting sqref="I2:I23">
    <cfRule type="expression" priority="2" dxfId="0">
      <formula>LEN($I2)=0</formula>
    </cfRule>
  </conditionalFormatting>
  <conditionalFormatting sqref="L2:L23">
    <cfRule type="expression" priority="3" dxfId="1">
      <formula>LEN($L2)&gt;0</formula>
    </cfRule>
  </conditionalFormatting>
  <dataValidations count="5">
    <dataValidation sqref="O2:O23" showDropDown="0" showInputMessage="0" showErrorMessage="0" allowBlank="1" type="list">
      <formula1>=Lists!$B$1:$B$3</formula1>
    </dataValidation>
    <dataValidation sqref="P2:P23" showDropDown="0" showInputMessage="0" showErrorMessage="0" allowBlank="1" type="list">
      <formula1>=Lists!$C$1:$C$5</formula1>
    </dataValidation>
    <dataValidation sqref="Q2:Q23" showDropDown="0" showInputMessage="0" showErrorMessage="0" allowBlank="1" type="list">
      <formula1>=Lists!$D$1:$D$3</formula1>
    </dataValidation>
    <dataValidation sqref="R2:R23" showDropDown="0" showInputMessage="0" showErrorMessage="0" allowBlank="1" type="list">
      <formula1>=Lists!$E$1:$E$4</formula1>
    </dataValidation>
    <dataValidation sqref="T2:T23" showDropDown="0" showInputMessage="0" showErrorMessage="0" allowBlank="1" type="list">
      <formula1>=Lists!$F$1:$F$12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N2" r:id="rId3"/>
    <hyperlink xmlns:r="http://schemas.openxmlformats.org/officeDocument/2006/relationships" ref="M3" r:id="rId4"/>
    <hyperlink xmlns:r="http://schemas.openxmlformats.org/officeDocument/2006/relationships" ref="N3" r:id="rId5"/>
    <hyperlink xmlns:r="http://schemas.openxmlformats.org/officeDocument/2006/relationships" ref="L4" r:id="rId6"/>
    <hyperlink xmlns:r="http://schemas.openxmlformats.org/officeDocument/2006/relationships" ref="M4" r:id="rId7"/>
    <hyperlink xmlns:r="http://schemas.openxmlformats.org/officeDocument/2006/relationships" ref="N4" r:id="rId8"/>
    <hyperlink xmlns:r="http://schemas.openxmlformats.org/officeDocument/2006/relationships" ref="L5" r:id="rId9"/>
    <hyperlink xmlns:r="http://schemas.openxmlformats.org/officeDocument/2006/relationships" ref="M5" r:id="rId10"/>
    <hyperlink xmlns:r="http://schemas.openxmlformats.org/officeDocument/2006/relationships" ref="N5" r:id="rId11"/>
    <hyperlink xmlns:r="http://schemas.openxmlformats.org/officeDocument/2006/relationships" ref="L6" r:id="rId12"/>
    <hyperlink xmlns:r="http://schemas.openxmlformats.org/officeDocument/2006/relationships" ref="M6" r:id="rId13"/>
    <hyperlink xmlns:r="http://schemas.openxmlformats.org/officeDocument/2006/relationships" ref="N6" r:id="rId14"/>
    <hyperlink xmlns:r="http://schemas.openxmlformats.org/officeDocument/2006/relationships" ref="L7" r:id="rId15"/>
    <hyperlink xmlns:r="http://schemas.openxmlformats.org/officeDocument/2006/relationships" ref="M7" r:id="rId16"/>
    <hyperlink xmlns:r="http://schemas.openxmlformats.org/officeDocument/2006/relationships" ref="N7" r:id="rId17"/>
    <hyperlink xmlns:r="http://schemas.openxmlformats.org/officeDocument/2006/relationships" ref="L8" r:id="rId18"/>
    <hyperlink xmlns:r="http://schemas.openxmlformats.org/officeDocument/2006/relationships" ref="M8" r:id="rId19"/>
    <hyperlink xmlns:r="http://schemas.openxmlformats.org/officeDocument/2006/relationships" ref="N8" r:id="rId20"/>
    <hyperlink xmlns:r="http://schemas.openxmlformats.org/officeDocument/2006/relationships" ref="L9" r:id="rId21"/>
    <hyperlink xmlns:r="http://schemas.openxmlformats.org/officeDocument/2006/relationships" ref="M9" r:id="rId22"/>
    <hyperlink xmlns:r="http://schemas.openxmlformats.org/officeDocument/2006/relationships" ref="N9" r:id="rId23"/>
    <hyperlink xmlns:r="http://schemas.openxmlformats.org/officeDocument/2006/relationships" ref="L10" r:id="rId24"/>
    <hyperlink xmlns:r="http://schemas.openxmlformats.org/officeDocument/2006/relationships" ref="M10" r:id="rId25"/>
    <hyperlink xmlns:r="http://schemas.openxmlformats.org/officeDocument/2006/relationships" ref="N10" r:id="rId26"/>
    <hyperlink xmlns:r="http://schemas.openxmlformats.org/officeDocument/2006/relationships" ref="L11" r:id="rId27"/>
    <hyperlink xmlns:r="http://schemas.openxmlformats.org/officeDocument/2006/relationships" ref="M11" r:id="rId28"/>
    <hyperlink xmlns:r="http://schemas.openxmlformats.org/officeDocument/2006/relationships" ref="N11" r:id="rId29"/>
    <hyperlink xmlns:r="http://schemas.openxmlformats.org/officeDocument/2006/relationships" ref="L12" r:id="rId30"/>
    <hyperlink xmlns:r="http://schemas.openxmlformats.org/officeDocument/2006/relationships" ref="M12" r:id="rId31"/>
    <hyperlink xmlns:r="http://schemas.openxmlformats.org/officeDocument/2006/relationships" ref="N12" r:id="rId32"/>
    <hyperlink xmlns:r="http://schemas.openxmlformats.org/officeDocument/2006/relationships" ref="L13" r:id="rId33"/>
    <hyperlink xmlns:r="http://schemas.openxmlformats.org/officeDocument/2006/relationships" ref="M13" r:id="rId34"/>
    <hyperlink xmlns:r="http://schemas.openxmlformats.org/officeDocument/2006/relationships" ref="N13" r:id="rId35"/>
    <hyperlink xmlns:r="http://schemas.openxmlformats.org/officeDocument/2006/relationships" ref="L14" r:id="rId36"/>
    <hyperlink xmlns:r="http://schemas.openxmlformats.org/officeDocument/2006/relationships" ref="M14" r:id="rId37"/>
    <hyperlink xmlns:r="http://schemas.openxmlformats.org/officeDocument/2006/relationships" ref="N14" r:id="rId38"/>
    <hyperlink xmlns:r="http://schemas.openxmlformats.org/officeDocument/2006/relationships" ref="L15" r:id="rId39"/>
    <hyperlink xmlns:r="http://schemas.openxmlformats.org/officeDocument/2006/relationships" ref="M15" r:id="rId40"/>
    <hyperlink xmlns:r="http://schemas.openxmlformats.org/officeDocument/2006/relationships" ref="N15" r:id="rId41"/>
    <hyperlink xmlns:r="http://schemas.openxmlformats.org/officeDocument/2006/relationships" ref="L16" r:id="rId42"/>
    <hyperlink xmlns:r="http://schemas.openxmlformats.org/officeDocument/2006/relationships" ref="M16" r:id="rId43"/>
    <hyperlink xmlns:r="http://schemas.openxmlformats.org/officeDocument/2006/relationships" ref="N16" r:id="rId44"/>
    <hyperlink xmlns:r="http://schemas.openxmlformats.org/officeDocument/2006/relationships" ref="L17" r:id="rId45"/>
    <hyperlink xmlns:r="http://schemas.openxmlformats.org/officeDocument/2006/relationships" ref="M17" r:id="rId46"/>
    <hyperlink xmlns:r="http://schemas.openxmlformats.org/officeDocument/2006/relationships" ref="N17" r:id="rId47"/>
    <hyperlink xmlns:r="http://schemas.openxmlformats.org/officeDocument/2006/relationships" ref="L18" r:id="rId48"/>
    <hyperlink xmlns:r="http://schemas.openxmlformats.org/officeDocument/2006/relationships" ref="M18" r:id="rId49"/>
    <hyperlink xmlns:r="http://schemas.openxmlformats.org/officeDocument/2006/relationships" ref="N18" r:id="rId50"/>
    <hyperlink xmlns:r="http://schemas.openxmlformats.org/officeDocument/2006/relationships" ref="L19" r:id="rId51"/>
    <hyperlink xmlns:r="http://schemas.openxmlformats.org/officeDocument/2006/relationships" ref="M19" r:id="rId52"/>
    <hyperlink xmlns:r="http://schemas.openxmlformats.org/officeDocument/2006/relationships" ref="N19" r:id="rId53"/>
    <hyperlink xmlns:r="http://schemas.openxmlformats.org/officeDocument/2006/relationships" ref="L20" r:id="rId54"/>
    <hyperlink xmlns:r="http://schemas.openxmlformats.org/officeDocument/2006/relationships" ref="M20" r:id="rId55"/>
    <hyperlink xmlns:r="http://schemas.openxmlformats.org/officeDocument/2006/relationships" ref="N20" r:id="rId56"/>
    <hyperlink xmlns:r="http://schemas.openxmlformats.org/officeDocument/2006/relationships" ref="L21" r:id="rId57"/>
    <hyperlink xmlns:r="http://schemas.openxmlformats.org/officeDocument/2006/relationships" ref="M21" r:id="rId58"/>
    <hyperlink xmlns:r="http://schemas.openxmlformats.org/officeDocument/2006/relationships" ref="N21" r:id="rId59"/>
    <hyperlink xmlns:r="http://schemas.openxmlformats.org/officeDocument/2006/relationships" ref="L22" r:id="rId60"/>
    <hyperlink xmlns:r="http://schemas.openxmlformats.org/officeDocument/2006/relationships" ref="M22" r:id="rId61"/>
    <hyperlink xmlns:r="http://schemas.openxmlformats.org/officeDocument/2006/relationships" ref="N22" r:id="rId62"/>
    <hyperlink xmlns:r="http://schemas.openxmlformats.org/officeDocument/2006/relationships" ref="L23" r:id="rId63"/>
    <hyperlink xmlns:r="http://schemas.openxmlformats.org/officeDocument/2006/relationships" ref="M23" r:id="rId64"/>
    <hyperlink xmlns:r="http://schemas.openxmlformats.org/officeDocument/2006/relationships" ref="N23" r:id="rId65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14" customWidth="1" min="4" max="4"/>
    <col width="14" customWidth="1" min="5" max="5"/>
    <col width="24" customWidth="1" min="6" max="6"/>
    <col width="14" customWidth="1" min="7" max="7"/>
    <col width="14" customWidth="1" min="8" max="8"/>
    <col width="12" customWidth="1" min="9" max="9"/>
    <col width="28" customWidth="1" min="10" max="10"/>
    <col width="16" customWidth="1" min="11" max="11"/>
    <col width="34" customWidth="1" min="12" max="12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Publication</t>
        </is>
      </c>
      <c r="D1" s="6" t="inlineStr">
        <is>
          <t>Priority Score</t>
        </is>
      </c>
      <c r="E1" s="6" t="inlineStr">
        <is>
          <t>Stage</t>
        </is>
      </c>
      <c r="F1" s="6" t="inlineStr">
        <is>
          <t>Last Action</t>
        </is>
      </c>
      <c r="G1" s="6" t="inlineStr">
        <is>
          <t>Follow-Up Due</t>
        </is>
      </c>
      <c r="H1" s="6" t="inlineStr">
        <is>
          <t>Days to Follow-Up</t>
        </is>
      </c>
      <c r="I1" s="6" t="inlineStr">
        <is>
          <t>Response</t>
        </is>
      </c>
      <c r="J1" s="6" t="inlineStr">
        <is>
          <t>Outcome</t>
        </is>
      </c>
      <c r="K1" s="6" t="inlineStr">
        <is>
          <t>Owner</t>
        </is>
      </c>
      <c r="L1" s="6" t="inlineStr">
        <is>
          <t>Notes</t>
        </is>
      </c>
    </row>
    <row r="2">
      <c r="A2" s="7">
        <f>Journalist_Master!A2</f>
        <v/>
      </c>
      <c r="B2" s="7">
        <f>Journalist_Master!B2</f>
        <v/>
      </c>
      <c r="C2" s="7">
        <f>Journalist_Master!C2</f>
        <v/>
      </c>
      <c r="D2" s="14">
        <f>Journalist_Master!W2</f>
        <v/>
      </c>
      <c r="E2" s="8" t="inlineStr">
        <is>
          <t>Prospect</t>
        </is>
      </c>
      <c r="F2" s="9" t="inlineStr"/>
      <c r="G2" s="9" t="inlineStr"/>
      <c r="H2" s="14">
        <f>IF(G2="","",G2-TODAY())</f>
        <v/>
      </c>
      <c r="I2" s="8" t="inlineStr">
        <is>
          <t>None</t>
        </is>
      </c>
      <c r="J2" s="9" t="inlineStr"/>
      <c r="K2" s="9" t="inlineStr"/>
      <c r="L2" s="9" t="inlineStr"/>
    </row>
    <row r="3">
      <c r="A3" s="15">
        <f>Journalist_Master!A3</f>
        <v/>
      </c>
      <c r="B3" s="15">
        <f>Journalist_Master!B3</f>
        <v/>
      </c>
      <c r="C3" s="15">
        <f>Journalist_Master!C3</f>
        <v/>
      </c>
      <c r="D3" s="20">
        <f>Journalist_Master!W3</f>
        <v/>
      </c>
      <c r="E3" s="16" t="inlineStr">
        <is>
          <t>Prospect</t>
        </is>
      </c>
      <c r="F3" s="9" t="inlineStr"/>
      <c r="G3" s="9" t="inlineStr"/>
      <c r="H3" s="20">
        <f>IF(G3="","",G3-TODAY())</f>
        <v/>
      </c>
      <c r="I3" s="16" t="inlineStr">
        <is>
          <t>None</t>
        </is>
      </c>
      <c r="J3" s="9" t="inlineStr"/>
      <c r="K3" s="9" t="inlineStr"/>
      <c r="L3" s="9" t="inlineStr"/>
    </row>
    <row r="4">
      <c r="A4" s="7">
        <f>Journalist_Master!A4</f>
        <v/>
      </c>
      <c r="B4" s="7">
        <f>Journalist_Master!B4</f>
        <v/>
      </c>
      <c r="C4" s="7">
        <f>Journalist_Master!C4</f>
        <v/>
      </c>
      <c r="D4" s="14">
        <f>Journalist_Master!W4</f>
        <v/>
      </c>
      <c r="E4" s="8" t="inlineStr">
        <is>
          <t>Prospect</t>
        </is>
      </c>
      <c r="F4" s="9" t="inlineStr"/>
      <c r="G4" s="9" t="inlineStr"/>
      <c r="H4" s="14">
        <f>IF(G4="","",G4-TODAY())</f>
        <v/>
      </c>
      <c r="I4" s="8" t="inlineStr">
        <is>
          <t>None</t>
        </is>
      </c>
      <c r="J4" s="9" t="inlineStr"/>
      <c r="K4" s="9" t="inlineStr"/>
      <c r="L4" s="9" t="inlineStr"/>
    </row>
    <row r="5">
      <c r="A5" s="15">
        <f>Journalist_Master!A5</f>
        <v/>
      </c>
      <c r="B5" s="15">
        <f>Journalist_Master!B5</f>
        <v/>
      </c>
      <c r="C5" s="15">
        <f>Journalist_Master!C5</f>
        <v/>
      </c>
      <c r="D5" s="20">
        <f>Journalist_Master!W5</f>
        <v/>
      </c>
      <c r="E5" s="16" t="inlineStr">
        <is>
          <t>Prospect</t>
        </is>
      </c>
      <c r="F5" s="9" t="inlineStr"/>
      <c r="G5" s="9" t="inlineStr"/>
      <c r="H5" s="20">
        <f>IF(G5="","",G5-TODAY())</f>
        <v/>
      </c>
      <c r="I5" s="16" t="inlineStr">
        <is>
          <t>None</t>
        </is>
      </c>
      <c r="J5" s="9" t="inlineStr"/>
      <c r="K5" s="9" t="inlineStr"/>
      <c r="L5" s="9" t="inlineStr"/>
    </row>
    <row r="6">
      <c r="A6" s="7">
        <f>Journalist_Master!A6</f>
        <v/>
      </c>
      <c r="B6" s="7">
        <f>Journalist_Master!B6</f>
        <v/>
      </c>
      <c r="C6" s="7">
        <f>Journalist_Master!C6</f>
        <v/>
      </c>
      <c r="D6" s="14">
        <f>Journalist_Master!W6</f>
        <v/>
      </c>
      <c r="E6" s="8" t="inlineStr">
        <is>
          <t>Prospect</t>
        </is>
      </c>
      <c r="F6" s="9" t="inlineStr"/>
      <c r="G6" s="9" t="inlineStr"/>
      <c r="H6" s="14">
        <f>IF(G6="","",G6-TODAY())</f>
        <v/>
      </c>
      <c r="I6" s="8" t="inlineStr">
        <is>
          <t>None</t>
        </is>
      </c>
      <c r="J6" s="9" t="inlineStr"/>
      <c r="K6" s="9" t="inlineStr"/>
      <c r="L6" s="9" t="inlineStr"/>
    </row>
    <row r="7">
      <c r="A7" s="15">
        <f>Journalist_Master!A7</f>
        <v/>
      </c>
      <c r="B7" s="15">
        <f>Journalist_Master!B7</f>
        <v/>
      </c>
      <c r="C7" s="15">
        <f>Journalist_Master!C7</f>
        <v/>
      </c>
      <c r="D7" s="20">
        <f>Journalist_Master!W7</f>
        <v/>
      </c>
      <c r="E7" s="16" t="inlineStr">
        <is>
          <t>Prospect</t>
        </is>
      </c>
      <c r="F7" s="9" t="inlineStr"/>
      <c r="G7" s="9" t="inlineStr"/>
      <c r="H7" s="20">
        <f>IF(G7="","",G7-TODAY())</f>
        <v/>
      </c>
      <c r="I7" s="16" t="inlineStr">
        <is>
          <t>None</t>
        </is>
      </c>
      <c r="J7" s="9" t="inlineStr"/>
      <c r="K7" s="9" t="inlineStr"/>
      <c r="L7" s="9" t="inlineStr"/>
    </row>
    <row r="8">
      <c r="A8" s="7">
        <f>Journalist_Master!A8</f>
        <v/>
      </c>
      <c r="B8" s="7">
        <f>Journalist_Master!B8</f>
        <v/>
      </c>
      <c r="C8" s="7">
        <f>Journalist_Master!C8</f>
        <v/>
      </c>
      <c r="D8" s="14">
        <f>Journalist_Master!W8</f>
        <v/>
      </c>
      <c r="E8" s="8" t="inlineStr">
        <is>
          <t>Prospect</t>
        </is>
      </c>
      <c r="F8" s="9" t="inlineStr"/>
      <c r="G8" s="9" t="inlineStr"/>
      <c r="H8" s="14">
        <f>IF(G8="","",G8-TODAY())</f>
        <v/>
      </c>
      <c r="I8" s="8" t="inlineStr">
        <is>
          <t>None</t>
        </is>
      </c>
      <c r="J8" s="9" t="inlineStr"/>
      <c r="K8" s="9" t="inlineStr"/>
      <c r="L8" s="9" t="inlineStr"/>
    </row>
    <row r="9">
      <c r="A9" s="15">
        <f>Journalist_Master!A9</f>
        <v/>
      </c>
      <c r="B9" s="15">
        <f>Journalist_Master!B9</f>
        <v/>
      </c>
      <c r="C9" s="15">
        <f>Journalist_Master!C9</f>
        <v/>
      </c>
      <c r="D9" s="20">
        <f>Journalist_Master!W9</f>
        <v/>
      </c>
      <c r="E9" s="16" t="inlineStr">
        <is>
          <t>Prospect</t>
        </is>
      </c>
      <c r="F9" s="9" t="inlineStr"/>
      <c r="G9" s="9" t="inlineStr"/>
      <c r="H9" s="20">
        <f>IF(G9="","",G9-TODAY())</f>
        <v/>
      </c>
      <c r="I9" s="16" t="inlineStr">
        <is>
          <t>None</t>
        </is>
      </c>
      <c r="J9" s="9" t="inlineStr"/>
      <c r="K9" s="9" t="inlineStr"/>
      <c r="L9" s="9" t="inlineStr"/>
    </row>
    <row r="10">
      <c r="A10" s="7">
        <f>Journalist_Master!A10</f>
        <v/>
      </c>
      <c r="B10" s="7">
        <f>Journalist_Master!B10</f>
        <v/>
      </c>
      <c r="C10" s="7">
        <f>Journalist_Master!C10</f>
        <v/>
      </c>
      <c r="D10" s="14">
        <f>Journalist_Master!W10</f>
        <v/>
      </c>
      <c r="E10" s="8" t="inlineStr">
        <is>
          <t>Prospect</t>
        </is>
      </c>
      <c r="F10" s="9" t="inlineStr"/>
      <c r="G10" s="9" t="inlineStr"/>
      <c r="H10" s="14">
        <f>IF(G10="","",G10-TODAY())</f>
        <v/>
      </c>
      <c r="I10" s="8" t="inlineStr">
        <is>
          <t>None</t>
        </is>
      </c>
      <c r="J10" s="9" t="inlineStr"/>
      <c r="K10" s="9" t="inlineStr"/>
      <c r="L10" s="9" t="inlineStr"/>
    </row>
    <row r="11">
      <c r="A11" s="15">
        <f>Journalist_Master!A11</f>
        <v/>
      </c>
      <c r="B11" s="15">
        <f>Journalist_Master!B11</f>
        <v/>
      </c>
      <c r="C11" s="15">
        <f>Journalist_Master!C11</f>
        <v/>
      </c>
      <c r="D11" s="20">
        <f>Journalist_Master!W11</f>
        <v/>
      </c>
      <c r="E11" s="16" t="inlineStr">
        <is>
          <t>Prospect</t>
        </is>
      </c>
      <c r="F11" s="9" t="inlineStr"/>
      <c r="G11" s="9" t="inlineStr"/>
      <c r="H11" s="20">
        <f>IF(G11="","",G11-TODAY())</f>
        <v/>
      </c>
      <c r="I11" s="16" t="inlineStr">
        <is>
          <t>None</t>
        </is>
      </c>
      <c r="J11" s="9" t="inlineStr"/>
      <c r="K11" s="9" t="inlineStr"/>
      <c r="L11" s="9" t="inlineStr"/>
    </row>
    <row r="12">
      <c r="A12" s="7">
        <f>Journalist_Master!A12</f>
        <v/>
      </c>
      <c r="B12" s="7">
        <f>Journalist_Master!B12</f>
        <v/>
      </c>
      <c r="C12" s="7">
        <f>Journalist_Master!C12</f>
        <v/>
      </c>
      <c r="D12" s="14">
        <f>Journalist_Master!W12</f>
        <v/>
      </c>
      <c r="E12" s="8" t="inlineStr">
        <is>
          <t>Prospect</t>
        </is>
      </c>
      <c r="F12" s="9" t="inlineStr"/>
      <c r="G12" s="9" t="inlineStr"/>
      <c r="H12" s="14">
        <f>IF(G12="","",G12-TODAY())</f>
        <v/>
      </c>
      <c r="I12" s="8" t="inlineStr">
        <is>
          <t>None</t>
        </is>
      </c>
      <c r="J12" s="9" t="inlineStr"/>
      <c r="K12" s="9" t="inlineStr"/>
      <c r="L12" s="9" t="inlineStr"/>
    </row>
    <row r="13">
      <c r="A13" s="15">
        <f>Journalist_Master!A13</f>
        <v/>
      </c>
      <c r="B13" s="15">
        <f>Journalist_Master!B13</f>
        <v/>
      </c>
      <c r="C13" s="15">
        <f>Journalist_Master!C13</f>
        <v/>
      </c>
      <c r="D13" s="20">
        <f>Journalist_Master!W13</f>
        <v/>
      </c>
      <c r="E13" s="16" t="inlineStr">
        <is>
          <t>Prospect</t>
        </is>
      </c>
      <c r="F13" s="9" t="inlineStr"/>
      <c r="G13" s="9" t="inlineStr"/>
      <c r="H13" s="20">
        <f>IF(G13="","",G13-TODAY())</f>
        <v/>
      </c>
      <c r="I13" s="16" t="inlineStr">
        <is>
          <t>None</t>
        </is>
      </c>
      <c r="J13" s="9" t="inlineStr"/>
      <c r="K13" s="9" t="inlineStr"/>
      <c r="L13" s="9" t="inlineStr"/>
    </row>
    <row r="14">
      <c r="A14" s="7">
        <f>Journalist_Master!A14</f>
        <v/>
      </c>
      <c r="B14" s="7">
        <f>Journalist_Master!B14</f>
        <v/>
      </c>
      <c r="C14" s="7">
        <f>Journalist_Master!C14</f>
        <v/>
      </c>
      <c r="D14" s="14">
        <f>Journalist_Master!W14</f>
        <v/>
      </c>
      <c r="E14" s="8" t="inlineStr">
        <is>
          <t>Prospect</t>
        </is>
      </c>
      <c r="F14" s="9" t="inlineStr"/>
      <c r="G14" s="9" t="inlineStr"/>
      <c r="H14" s="14">
        <f>IF(G14="","",G14-TODAY())</f>
        <v/>
      </c>
      <c r="I14" s="8" t="inlineStr">
        <is>
          <t>None</t>
        </is>
      </c>
      <c r="J14" s="9" t="inlineStr"/>
      <c r="K14" s="9" t="inlineStr"/>
      <c r="L14" s="9" t="inlineStr"/>
    </row>
    <row r="15">
      <c r="A15" s="15">
        <f>Journalist_Master!A15</f>
        <v/>
      </c>
      <c r="B15" s="15">
        <f>Journalist_Master!B15</f>
        <v/>
      </c>
      <c r="C15" s="15">
        <f>Journalist_Master!C15</f>
        <v/>
      </c>
      <c r="D15" s="20">
        <f>Journalist_Master!W15</f>
        <v/>
      </c>
      <c r="E15" s="16" t="inlineStr">
        <is>
          <t>Prospect</t>
        </is>
      </c>
      <c r="F15" s="9" t="inlineStr"/>
      <c r="G15" s="9" t="inlineStr"/>
      <c r="H15" s="20">
        <f>IF(G15="","",G15-TODAY())</f>
        <v/>
      </c>
      <c r="I15" s="16" t="inlineStr">
        <is>
          <t>None</t>
        </is>
      </c>
      <c r="J15" s="9" t="inlineStr"/>
      <c r="K15" s="9" t="inlineStr"/>
      <c r="L15" s="9" t="inlineStr"/>
    </row>
    <row r="16">
      <c r="A16" s="7">
        <f>Journalist_Master!A16</f>
        <v/>
      </c>
      <c r="B16" s="7">
        <f>Journalist_Master!B16</f>
        <v/>
      </c>
      <c r="C16" s="7">
        <f>Journalist_Master!C16</f>
        <v/>
      </c>
      <c r="D16" s="14">
        <f>Journalist_Master!W16</f>
        <v/>
      </c>
      <c r="E16" s="8" t="inlineStr">
        <is>
          <t>Prospect</t>
        </is>
      </c>
      <c r="F16" s="9" t="inlineStr"/>
      <c r="G16" s="9" t="inlineStr"/>
      <c r="H16" s="14">
        <f>IF(G16="","",G16-TODAY())</f>
        <v/>
      </c>
      <c r="I16" s="8" t="inlineStr">
        <is>
          <t>None</t>
        </is>
      </c>
      <c r="J16" s="9" t="inlineStr"/>
      <c r="K16" s="9" t="inlineStr"/>
      <c r="L16" s="9" t="inlineStr"/>
    </row>
    <row r="17">
      <c r="A17" s="15">
        <f>Journalist_Master!A17</f>
        <v/>
      </c>
      <c r="B17" s="15">
        <f>Journalist_Master!B17</f>
        <v/>
      </c>
      <c r="C17" s="15">
        <f>Journalist_Master!C17</f>
        <v/>
      </c>
      <c r="D17" s="20">
        <f>Journalist_Master!W17</f>
        <v/>
      </c>
      <c r="E17" s="16" t="inlineStr">
        <is>
          <t>Prospect</t>
        </is>
      </c>
      <c r="F17" s="9" t="inlineStr"/>
      <c r="G17" s="9" t="inlineStr"/>
      <c r="H17" s="20">
        <f>IF(G17="","",G17-TODAY())</f>
        <v/>
      </c>
      <c r="I17" s="16" t="inlineStr">
        <is>
          <t>None</t>
        </is>
      </c>
      <c r="J17" s="9" t="inlineStr"/>
      <c r="K17" s="9" t="inlineStr"/>
      <c r="L17" s="9" t="inlineStr"/>
    </row>
    <row r="18">
      <c r="A18" s="7">
        <f>Journalist_Master!A18</f>
        <v/>
      </c>
      <c r="B18" s="7">
        <f>Journalist_Master!B18</f>
        <v/>
      </c>
      <c r="C18" s="7">
        <f>Journalist_Master!C18</f>
        <v/>
      </c>
      <c r="D18" s="14">
        <f>Journalist_Master!W18</f>
        <v/>
      </c>
      <c r="E18" s="8" t="inlineStr">
        <is>
          <t>Prospect</t>
        </is>
      </c>
      <c r="F18" s="9" t="inlineStr"/>
      <c r="G18" s="9" t="inlineStr"/>
      <c r="H18" s="14">
        <f>IF(G18="","",G18-TODAY())</f>
        <v/>
      </c>
      <c r="I18" s="8" t="inlineStr">
        <is>
          <t>None</t>
        </is>
      </c>
      <c r="J18" s="9" t="inlineStr"/>
      <c r="K18" s="9" t="inlineStr"/>
      <c r="L18" s="9" t="inlineStr"/>
    </row>
    <row r="19">
      <c r="A19" s="15">
        <f>Journalist_Master!A19</f>
        <v/>
      </c>
      <c r="B19" s="15">
        <f>Journalist_Master!B19</f>
        <v/>
      </c>
      <c r="C19" s="15">
        <f>Journalist_Master!C19</f>
        <v/>
      </c>
      <c r="D19" s="20">
        <f>Journalist_Master!W19</f>
        <v/>
      </c>
      <c r="E19" s="16" t="inlineStr">
        <is>
          <t>Prospect</t>
        </is>
      </c>
      <c r="F19" s="9" t="inlineStr"/>
      <c r="G19" s="9" t="inlineStr"/>
      <c r="H19" s="20">
        <f>IF(G19="","",G19-TODAY())</f>
        <v/>
      </c>
      <c r="I19" s="16" t="inlineStr">
        <is>
          <t>None</t>
        </is>
      </c>
      <c r="J19" s="9" t="inlineStr"/>
      <c r="K19" s="9" t="inlineStr"/>
      <c r="L19" s="9" t="inlineStr"/>
    </row>
    <row r="20">
      <c r="A20" s="7">
        <f>Journalist_Master!A20</f>
        <v/>
      </c>
      <c r="B20" s="7">
        <f>Journalist_Master!B20</f>
        <v/>
      </c>
      <c r="C20" s="7">
        <f>Journalist_Master!C20</f>
        <v/>
      </c>
      <c r="D20" s="14">
        <f>Journalist_Master!W20</f>
        <v/>
      </c>
      <c r="E20" s="8" t="inlineStr">
        <is>
          <t>Prospect</t>
        </is>
      </c>
      <c r="F20" s="9" t="inlineStr"/>
      <c r="G20" s="9" t="inlineStr"/>
      <c r="H20" s="14">
        <f>IF(G20="","",G20-TODAY())</f>
        <v/>
      </c>
      <c r="I20" s="8" t="inlineStr">
        <is>
          <t>None</t>
        </is>
      </c>
      <c r="J20" s="9" t="inlineStr"/>
      <c r="K20" s="9" t="inlineStr"/>
      <c r="L20" s="9" t="inlineStr"/>
    </row>
    <row r="21">
      <c r="A21" s="15">
        <f>Journalist_Master!A21</f>
        <v/>
      </c>
      <c r="B21" s="15">
        <f>Journalist_Master!B21</f>
        <v/>
      </c>
      <c r="C21" s="15">
        <f>Journalist_Master!C21</f>
        <v/>
      </c>
      <c r="D21" s="20">
        <f>Journalist_Master!W21</f>
        <v/>
      </c>
      <c r="E21" s="16" t="inlineStr">
        <is>
          <t>Prospect</t>
        </is>
      </c>
      <c r="F21" s="9" t="inlineStr"/>
      <c r="G21" s="9" t="inlineStr"/>
      <c r="H21" s="20">
        <f>IF(G21="","",G21-TODAY())</f>
        <v/>
      </c>
      <c r="I21" s="16" t="inlineStr">
        <is>
          <t>None</t>
        </is>
      </c>
      <c r="J21" s="9" t="inlineStr"/>
      <c r="K21" s="9" t="inlineStr"/>
      <c r="L21" s="9" t="inlineStr"/>
    </row>
    <row r="22">
      <c r="A22" s="7">
        <f>Journalist_Master!A22</f>
        <v/>
      </c>
      <c r="B22" s="7">
        <f>Journalist_Master!B22</f>
        <v/>
      </c>
      <c r="C22" s="7">
        <f>Journalist_Master!C22</f>
        <v/>
      </c>
      <c r="D22" s="14">
        <f>Journalist_Master!W22</f>
        <v/>
      </c>
      <c r="E22" s="8" t="inlineStr">
        <is>
          <t>Prospect</t>
        </is>
      </c>
      <c r="F22" s="9" t="inlineStr"/>
      <c r="G22" s="9" t="inlineStr"/>
      <c r="H22" s="14">
        <f>IF(G22="","",G22-TODAY())</f>
        <v/>
      </c>
      <c r="I22" s="8" t="inlineStr">
        <is>
          <t>None</t>
        </is>
      </c>
      <c r="J22" s="9" t="inlineStr"/>
      <c r="K22" s="9" t="inlineStr"/>
      <c r="L22" s="9" t="inlineStr"/>
    </row>
    <row r="23">
      <c r="A23" s="15">
        <f>Journalist_Master!A23</f>
        <v/>
      </c>
      <c r="B23" s="15">
        <f>Journalist_Master!B23</f>
        <v/>
      </c>
      <c r="C23" s="15">
        <f>Journalist_Master!C23</f>
        <v/>
      </c>
      <c r="D23" s="20">
        <f>Journalist_Master!W23</f>
        <v/>
      </c>
      <c r="E23" s="16" t="inlineStr">
        <is>
          <t>Prospect</t>
        </is>
      </c>
      <c r="F23" s="9" t="inlineStr"/>
      <c r="G23" s="9" t="inlineStr"/>
      <c r="H23" s="20">
        <f>IF(G23="","",G23-TODAY())</f>
        <v/>
      </c>
      <c r="I23" s="16" t="inlineStr">
        <is>
          <t>None</t>
        </is>
      </c>
      <c r="J23" s="9" t="inlineStr"/>
      <c r="K23" s="9" t="inlineStr"/>
      <c r="L23" s="9" t="inlineStr"/>
    </row>
  </sheetData>
  <autoFilter ref="A1:L23"/>
  <conditionalFormatting sqref="H2:H23">
    <cfRule type="expression" priority="1" dxfId="2">
      <formula>$H2&lt;0</formula>
    </cfRule>
  </conditionalFormatting>
  <conditionalFormatting sqref="E2:E23">
    <cfRule type="expression" priority="2" dxfId="3">
      <formula>$E2="Covered"</formula>
    </cfRule>
  </conditionalFormatting>
  <dataValidations count="2">
    <dataValidation sqref="E2:E23" showDropDown="0" showInputMessage="0" showErrorMessage="0" allowBlank="1" type="list">
      <formula1>=Lists!$G$1:$G$7</formula1>
    </dataValidation>
    <dataValidation sqref="I2:I23" showDropDown="0" showInputMessage="0" showErrorMessage="0" allowBlank="1" type="list">
      <formula1>=Lists!$H$1:$H$4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8" customWidth="1" min="4" max="4"/>
    <col width="12" customWidth="1" min="5" max="5"/>
    <col width="12" customWidth="1" min="6" max="6"/>
    <col width="2" customWidth="1" min="8" max="8"/>
  </cols>
  <sheetData>
    <row r="1">
      <c r="A1" s="22" t="inlineStr">
        <is>
          <t>Outreach Dashboard</t>
        </is>
      </c>
      <c r="B1" s="33" t="n"/>
      <c r="C1" s="33" t="n"/>
      <c r="D1" s="33" t="n"/>
      <c r="E1" s="33" t="n"/>
      <c r="F1" s="33" t="n"/>
      <c r="G1" s="33" t="n"/>
      <c r="H1" s="33" t="n"/>
    </row>
    <row r="3">
      <c r="A3" s="24" t="inlineStr">
        <is>
          <t>Metric</t>
        </is>
      </c>
      <c r="B3" s="24" t="inlineStr">
        <is>
          <t>Value</t>
        </is>
      </c>
      <c r="D3" s="24" t="inlineStr">
        <is>
          <t>Publication</t>
        </is>
      </c>
      <c r="E3" s="24" t="inlineStr">
        <is>
          <t>Count</t>
        </is>
      </c>
      <c r="F3" s="24" t="inlineStr">
        <is>
          <t>Avg Influence</t>
        </is>
      </c>
    </row>
    <row r="4">
      <c r="A4" s="25" t="inlineStr">
        <is>
          <t>Total stakeholders</t>
        </is>
      </c>
      <c r="B4" s="26">
        <f>COUNTA(Journalist_Master!B2:B23)</f>
        <v/>
      </c>
      <c r="D4" t="inlineStr">
        <is>
          <t>Council on Foreign Relations</t>
        </is>
      </c>
      <c r="E4">
        <f>COUNTIF(Journalist_Master!C2:C23,D4)</f>
        <v/>
      </c>
      <c r="F4">
        <f>ROUND(AVERAGEIF(Journalist_Master!C2:C23,D4,Journalist_Master!P2:P23),1)</f>
        <v/>
      </c>
    </row>
    <row r="5">
      <c r="A5" s="25" t="inlineStr">
        <is>
          <t>Public emails listed</t>
        </is>
      </c>
      <c r="B5" s="26">
        <f>COUNTIF(Journalist_Master!I2:I23,"?*")</f>
        <v/>
      </c>
      <c r="D5" t="inlineStr">
        <is>
          <t>The New York Times</t>
        </is>
      </c>
      <c r="E5">
        <f>COUNTIF(Journalist_Master!C2:C23,D5)</f>
        <v/>
      </c>
      <c r="F5">
        <f>ROUND(AVERAGEIF(Journalist_Master!C2:C23,D5,Journalist_Master!P2:P23),1)</f>
        <v/>
      </c>
    </row>
    <row r="6">
      <c r="A6" s="25" t="inlineStr">
        <is>
          <t>X handles listed</t>
        </is>
      </c>
      <c r="B6" s="26">
        <f>COUNTIF(Journalist_Master!L2:L23,"@*")</f>
        <v/>
      </c>
      <c r="D6" t="inlineStr">
        <is>
          <t>The Wall Street Journal</t>
        </is>
      </c>
      <c r="E6">
        <f>COUNTIF(Journalist_Master!C2:C23,D6)</f>
        <v/>
      </c>
      <c r="F6">
        <f>ROUND(AVERAGEIF(Journalist_Master!C2:C23,D6,Journalist_Master!P2:P23),1)</f>
        <v/>
      </c>
    </row>
    <row r="7">
      <c r="A7" s="25" t="inlineStr">
        <is>
          <t>High-confidence contacts</t>
        </is>
      </c>
      <c r="B7" s="26">
        <f>COUNTIF(Journalist_Master!O2:O23,"High")</f>
        <v/>
      </c>
      <c r="D7" t="inlineStr">
        <is>
          <t>The Washington Post</t>
        </is>
      </c>
      <c r="E7">
        <f>COUNTIF(Journalist_Master!C2:C23,D7)</f>
        <v/>
      </c>
      <c r="F7">
        <f>ROUND(AVERAGEIF(Journalist_Master!C2:C23,D7,Journalist_Master!P2:P23),1)</f>
        <v/>
      </c>
    </row>
    <row r="8">
      <c r="A8" s="25" t="inlineStr">
        <is>
          <t>Average influence</t>
        </is>
      </c>
      <c r="B8" s="27">
        <f>ROUND(AVERAGE(Journalist_Master!P2:P23),1)</f>
        <v/>
      </c>
      <c r="D8" t="inlineStr">
        <is>
          <t>Washington Examiner</t>
        </is>
      </c>
      <c r="E8">
        <f>COUNTIF(Journalist_Master!C2:C23,D8)</f>
        <v/>
      </c>
      <c r="F8">
        <f>ROUND(AVERAGEIF(Journalist_Master!C2:C23,D8,Journalist_Master!P2:P23),1)</f>
        <v/>
      </c>
    </row>
    <row r="9">
      <c r="A9" s="25" t="inlineStr">
        <is>
          <t>Avg priority score</t>
        </is>
      </c>
      <c r="B9" s="27">
        <f>ROUND(AVERAGE(Journalist_Master!W2:W23),1)</f>
        <v/>
      </c>
      <c r="D9" t="inlineStr">
        <is>
          <t>FOX News</t>
        </is>
      </c>
      <c r="E9">
        <f>COUNTIF(Journalist_Master!C2:C23,D9)</f>
        <v/>
      </c>
      <c r="F9">
        <f>ROUND(AVERAGEIF(Journalist_Master!C2:C23,D9,Journalist_Master!P2:P23),1)</f>
        <v/>
      </c>
    </row>
    <row r="10">
      <c r="D10" t="inlineStr">
        <is>
          <t>Associated Press</t>
        </is>
      </c>
      <c r="E10">
        <f>COUNTIF(Journalist_Master!C2:C23,D10)</f>
        <v/>
      </c>
      <c r="F10">
        <f>ROUND(AVERAGEIF(Journalist_Master!C2:C23,D10,Journalist_Master!P2:P23),1)</f>
        <v/>
      </c>
    </row>
    <row r="11">
      <c r="D11" t="inlineStr">
        <is>
          <t>Bloomberg</t>
        </is>
      </c>
      <c r="E11">
        <f>COUNTIF(Journalist_Master!C2:C23,D11)</f>
        <v/>
      </c>
      <c r="F11">
        <f>ROUND(AVERAGEIF(Journalist_Master!C2:C23,D11,Journalist_Master!P2:P23),1)</f>
        <v/>
      </c>
    </row>
    <row r="14">
      <c r="D14" s="24" t="inlineStr">
        <is>
          <t>Pipeline Stage</t>
        </is>
      </c>
      <c r="E14" s="24" t="inlineStr">
        <is>
          <t>Count</t>
        </is>
      </c>
    </row>
    <row r="15">
      <c r="D15" t="inlineStr">
        <is>
          <t>Prospect</t>
        </is>
      </c>
      <c r="E15">
        <f>COUNTIF(Pipeline!E2:E23,D15)</f>
        <v/>
      </c>
    </row>
    <row r="16">
      <c r="D16" t="inlineStr">
        <is>
          <t>Contacted</t>
        </is>
      </c>
      <c r="E16">
        <f>COUNTIF(Pipeline!E2:E23,D16)</f>
        <v/>
      </c>
    </row>
    <row r="17">
      <c r="D17" t="inlineStr">
        <is>
          <t>Replied</t>
        </is>
      </c>
      <c r="E17">
        <f>COUNTIF(Pipeline!E2:E23,D17)</f>
        <v/>
      </c>
    </row>
    <row r="18">
      <c r="D18" t="inlineStr">
        <is>
          <t>Meeting</t>
        </is>
      </c>
      <c r="E18">
        <f>COUNTIF(Pipeline!E2:E23,D18)</f>
        <v/>
      </c>
    </row>
    <row r="19">
      <c r="D19" t="inlineStr">
        <is>
          <t>Pitched</t>
        </is>
      </c>
      <c r="E19">
        <f>COUNTIF(Pipeline!E2:E23,D19)</f>
        <v/>
      </c>
    </row>
    <row r="20">
      <c r="D20" t="inlineStr">
        <is>
          <t>Covered</t>
        </is>
      </c>
      <c r="E20">
        <f>COUNTIF(Pipeline!E2:E23,D20)</f>
        <v/>
      </c>
    </row>
    <row r="21">
      <c r="D21" t="inlineStr">
        <is>
          <t>Paused</t>
        </is>
      </c>
      <c r="E21">
        <f>COUNTIF(Pipeline!E2:E23,D21)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0" customWidth="1" min="3" max="3"/>
    <col width="28" customWidth="1" min="4" max="4"/>
    <col width="22" customWidth="1" min="5" max="5"/>
    <col width="26" customWidth="1" min="6" max="6"/>
    <col width="16" customWidth="1" min="7" max="7"/>
  </cols>
  <sheetData>
    <row r="1">
      <c r="A1" s="6" t="inlineStr">
        <is>
          <t>Narrative Theme</t>
        </is>
      </c>
      <c r="B1" s="6" t="inlineStr">
        <is>
          <t>Likely Editorial Angle</t>
        </is>
      </c>
      <c r="C1" s="6" t="inlineStr">
        <is>
          <t>Evidence / Proof Points to Prepare</t>
        </is>
      </c>
      <c r="D1" s="6" t="inlineStr">
        <is>
          <t>Watchouts</t>
        </is>
      </c>
      <c r="E1" s="6" t="inlineStr">
        <is>
          <t>Best Targets</t>
        </is>
      </c>
      <c r="F1" s="6" t="inlineStr">
        <is>
          <t>Suggested Spokesperson Type</t>
        </is>
      </c>
      <c r="G1" s="6" t="inlineStr">
        <is>
          <t>Status</t>
        </is>
      </c>
    </row>
    <row r="2">
      <c r="A2" s="28" t="inlineStr">
        <is>
          <t>U.S.-India trade and tariffs</t>
        </is>
      </c>
      <c r="B2" s="28" t="inlineStr">
        <is>
          <t>How bilateral tensions affect markets, supply chains, and diplomacy</t>
        </is>
      </c>
      <c r="C2" s="28" t="inlineStr">
        <is>
          <t>Trade numbers, announced agreements, tariff timelines, business impact examples</t>
        </is>
      </c>
      <c r="D2" s="28" t="inlineStr">
        <is>
          <t>Avoid vague 'historic' claims without dates or figures</t>
        </is>
      </c>
      <c r="E2" s="28" t="inlineStr">
        <is>
          <t>WSJ, Bloomberg, NYT, WaPo</t>
        </is>
      </c>
      <c r="F2" s="28" t="inlineStr">
        <is>
          <t>Trade or policy spokesperson</t>
        </is>
      </c>
      <c r="G2" s="28" t="inlineStr">
        <is>
          <t>Ready</t>
        </is>
      </c>
    </row>
    <row r="3">
      <c r="A3" s="29" t="inlineStr">
        <is>
          <t>India's strategic autonomy</t>
        </is>
      </c>
      <c r="B3" s="29" t="inlineStr">
        <is>
          <t>Why India balances the U.S., Russia, and regional interests</t>
        </is>
      </c>
      <c r="C3" s="29" t="inlineStr">
        <is>
          <t>Specific voting records, procurement facts, official statements, timeline context</t>
        </is>
      </c>
      <c r="D3" s="29" t="inlineStr">
        <is>
          <t>Do not overstate alliance language</t>
        </is>
      </c>
      <c r="E3" s="29" t="inlineStr">
        <is>
          <t>CFR, WaPo, WSJ, Fox</t>
        </is>
      </c>
      <c r="F3" s="29" t="inlineStr">
        <is>
          <t>Foreign policy expert</t>
        </is>
      </c>
      <c r="G3" s="29" t="inlineStr">
        <is>
          <t>Ready</t>
        </is>
      </c>
    </row>
    <row r="4">
      <c r="A4" s="28" t="inlineStr">
        <is>
          <t>China / Indo-Pacific security</t>
        </is>
      </c>
      <c r="B4" s="28" t="inlineStr">
        <is>
          <t>Regional deterrence, maritime security, defense cooperation</t>
        </is>
      </c>
      <c r="C4" s="28" t="inlineStr">
        <is>
          <t>Exercises, defense deals, Indo-Pacific framing, allied quotes</t>
        </is>
      </c>
      <c r="D4" s="28" t="inlineStr">
        <is>
          <t>Avoid speculative military claims</t>
        </is>
      </c>
      <c r="E4" s="28" t="inlineStr">
        <is>
          <t>Fox, Examiner, CFR, WaPo</t>
        </is>
      </c>
      <c r="F4" s="28" t="inlineStr">
        <is>
          <t>Defense / security spokesperson</t>
        </is>
      </c>
      <c r="G4" s="28" t="inlineStr">
        <is>
          <t>Ready</t>
        </is>
      </c>
    </row>
    <row r="5">
      <c r="A5" s="29" t="inlineStr">
        <is>
          <t>Democracy and rights scrutiny</t>
        </is>
      </c>
      <c r="B5" s="29" t="inlineStr">
        <is>
          <t>Questions on institutions, civil liberties, or social cohesion</t>
        </is>
      </c>
      <c r="C5" s="29" t="inlineStr">
        <is>
          <t>Court rulings, election data, public policy specifics, third-party reports</t>
        </is>
      </c>
      <c r="D5" s="29" t="inlineStr">
        <is>
          <t>Do not attack reporters; stay evidence-led</t>
        </is>
      </c>
      <c r="E5" s="29" t="inlineStr">
        <is>
          <t>NYT, WaPo, AP</t>
        </is>
      </c>
      <c r="F5" s="29" t="inlineStr">
        <is>
          <t>Legal / governance spokesperson</t>
        </is>
      </c>
      <c r="G5" s="29" t="inlineStr">
        <is>
          <t>Needs source pack</t>
        </is>
      </c>
    </row>
    <row r="6">
      <c r="A6" s="28" t="inlineStr">
        <is>
          <t>Climate and energy transition</t>
        </is>
      </c>
      <c r="B6" s="28" t="inlineStr">
        <is>
          <t>Coal, renewables, grid demand, financing, energy security</t>
        </is>
      </c>
      <c r="C6" s="28" t="inlineStr">
        <is>
          <t>Capacity numbers, targets, emissions context, transition constraints</t>
        </is>
      </c>
      <c r="D6" s="28" t="inlineStr">
        <is>
          <t>Avoid greenwashing language</t>
        </is>
      </c>
      <c r="E6" s="28" t="inlineStr">
        <is>
          <t>Bloomberg, AP, WSJ</t>
        </is>
      </c>
      <c r="F6" s="28" t="inlineStr">
        <is>
          <t>Climate / energy expert</t>
        </is>
      </c>
      <c r="G6" s="28" t="inlineStr">
        <is>
          <t>Ready</t>
        </is>
      </c>
    </row>
    <row r="7">
      <c r="A7" s="29" t="inlineStr">
        <is>
          <t>Kashmir and regional security</t>
        </is>
      </c>
      <c r="B7" s="29" t="inlineStr">
        <is>
          <t>Conflict, sovereignty, militancy, civilian impact</t>
        </is>
      </c>
      <c r="C7" s="29" t="inlineStr">
        <is>
          <t>Precise timelines, casualty sourcing, official positions, map accuracy</t>
        </is>
      </c>
      <c r="D7" s="29" t="inlineStr">
        <is>
          <t>High sensitivity; check wording carefully</t>
        </is>
      </c>
      <c r="E7" s="29" t="inlineStr">
        <is>
          <t>AP, NYT, WaPo, CFR</t>
        </is>
      </c>
      <c r="F7" s="29" t="inlineStr">
        <is>
          <t>Regional security expert</t>
        </is>
      </c>
      <c r="G7" s="29" t="inlineStr">
        <is>
          <t>High sensitivity</t>
        </is>
      </c>
    </row>
    <row r="8">
      <c r="A8" s="28" t="inlineStr">
        <is>
          <t>Technology, regulation, and AI</t>
        </is>
      </c>
      <c r="B8" s="28" t="inlineStr">
        <is>
          <t>Data governance, platform rules, semiconductor or AI policy</t>
        </is>
      </c>
      <c r="C8" s="28" t="inlineStr">
        <is>
          <t>Law text, regulator statements, startup/industry examples</t>
        </is>
      </c>
      <c r="D8" s="28" t="inlineStr">
        <is>
          <t>Avoid abstract policy language without use cases</t>
        </is>
      </c>
      <c r="E8" s="28" t="inlineStr">
        <is>
          <t>WaPo, Bloomberg, NYT</t>
        </is>
      </c>
      <c r="F8" s="28" t="inlineStr">
        <is>
          <t>Tech policy spokesperson</t>
        </is>
      </c>
      <c r="G8" s="28" t="inlineStr">
        <is>
          <t>Ready</t>
        </is>
      </c>
    </row>
    <row r="9">
      <c r="A9" s="29" t="inlineStr">
        <is>
          <t>Capital flows and elite wealth</t>
        </is>
      </c>
      <c r="B9" s="29" t="inlineStr">
        <is>
          <t>Billionaires, tax policy, foreign capital, wealth migration</t>
        </is>
      </c>
      <c r="C9" s="29" t="inlineStr">
        <is>
          <t>Market data, policy changes, affected sectors, quotes from filings</t>
        </is>
      </c>
      <c r="D9" s="29" t="inlineStr">
        <is>
          <t>Avoid unsupported motives</t>
        </is>
      </c>
      <c r="E9" s="29" t="inlineStr">
        <is>
          <t>Bloomberg, WSJ, NYT</t>
        </is>
      </c>
      <c r="F9" s="29" t="inlineStr">
        <is>
          <t>Economics / finance spokesperson</t>
        </is>
      </c>
      <c r="G9" s="29" t="inlineStr">
        <is>
          <t>Ready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</cols>
  <sheetData>
    <row r="1">
      <c r="A1" s="6" t="inlineStr">
        <is>
          <t>Template ID</t>
        </is>
      </c>
      <c r="B1" s="6" t="inlineStr">
        <is>
          <t>Use Case</t>
        </is>
      </c>
      <c r="C1" s="6" t="inlineStr">
        <is>
          <t>Subject Line</t>
        </is>
      </c>
      <c r="D1" s="6" t="inlineStr">
        <is>
          <t>Body</t>
        </is>
      </c>
    </row>
    <row r="2">
      <c r="A2" s="28" t="inlineStr">
        <is>
          <t>T1</t>
        </is>
      </c>
      <c r="B2" s="28" t="inlineStr">
        <is>
          <t>Warm intro / background briefing</t>
        </is>
      </c>
      <c r="C2" s="28" t="inlineStr">
        <is>
          <t>Background note on [topic] + available source/briefing</t>
        </is>
      </c>
      <c r="D2" s="28" t="inlineStr">
        <is>
          <t>Hi [Name],
Sharing a short background note on [topic] in case it's useful for your coverage. I can also connect you with [expert/spokesperson] for a quick on-background conversation or send supporting documents/data points.
Best,
[Your Name]</t>
        </is>
      </c>
    </row>
    <row r="3">
      <c r="A3" s="29" t="inlineStr">
        <is>
          <t>T2</t>
        </is>
      </c>
      <c r="B3" s="29" t="inlineStr">
        <is>
          <t>Data-led India policy pitch</t>
        </is>
      </c>
      <c r="C3" s="29" t="inlineStr">
        <is>
          <t>Quick context on [policy/development] in India</t>
        </is>
      </c>
      <c r="D3" s="29" t="inlineStr">
        <is>
          <t>Hi [Name],
Thought this may be relevant to your [India/foreign policy/business] beat. We pulled together a concise evidence pack on [topic] with dates, data points, and source documents. Happy to send that over or arrange a short call.
Best,
[Your Name]</t>
        </is>
      </c>
    </row>
    <row r="4">
      <c r="A4" s="28" t="inlineStr">
        <is>
          <t>T3</t>
        </is>
      </c>
      <c r="B4" s="28" t="inlineStr">
        <is>
          <t>Security / defense angle</t>
        </is>
      </c>
      <c r="C4" s="28" t="inlineStr">
        <is>
          <t>Source offer: [topic] and its security implications</t>
        </is>
      </c>
      <c r="D4" s="28" t="inlineStr">
        <is>
          <t>Hi [Name],
If helpful, we can provide a fast-turn backgrounder on [topic], including the security implications, timeline, and what to watch next. We can also arrange a quote from [expert name/title].
Best,
[Your Name]</t>
        </is>
      </c>
    </row>
    <row r="5">
      <c r="A5" s="29" t="inlineStr">
        <is>
          <t>T4</t>
        </is>
      </c>
      <c r="B5" s="29" t="inlineStr">
        <is>
          <t>Follow-up after no reply</t>
        </is>
      </c>
      <c r="C5" s="29" t="inlineStr">
        <is>
          <t>Following up on [topic]</t>
        </is>
      </c>
      <c r="D5" s="29" t="inlineStr">
        <is>
          <t>Hi [Name],
Just following up in case the earlier note got buried. If this angle is useful, I can send a tighter one-page summary or a short bullet list tailored to your beat.
Best,
[Your Name]</t>
        </is>
      </c>
    </row>
    <row r="6">
      <c r="A6" s="28" t="inlineStr">
        <is>
          <t>T5</t>
        </is>
      </c>
      <c r="B6" s="28" t="inlineStr">
        <is>
          <t>Corrective / context note</t>
        </is>
      </c>
      <c r="C6" s="28" t="inlineStr">
        <is>
          <t>Additional context on [recent coverage topic]</t>
        </is>
      </c>
      <c r="D6" s="28" t="inlineStr">
        <is>
          <t>Hi [Name],
I read your recent piece and wanted to share a few points of context that may be useful for any follow-on reporting. I've kept them factual and source-backed below. Happy to send the underlying documents if helpful.
Best,
[Your Name]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22" t="inlineStr">
        <is>
          <t>Strategy Playbook</t>
        </is>
      </c>
      <c r="B1" s="33" t="n"/>
      <c r="C1" s="33" t="n"/>
      <c r="D1" s="33" t="n"/>
      <c r="E1" s="33" t="n"/>
      <c r="F1" s="33" t="n"/>
    </row>
    <row r="3">
      <c r="A3" s="24" t="inlineStr">
        <is>
          <t>Section</t>
        </is>
      </c>
      <c r="B3" s="24" t="inlineStr">
        <is>
          <t>Guidance</t>
        </is>
      </c>
    </row>
    <row r="4">
      <c r="A4" s="30" t="inlineStr">
        <is>
          <t>1. Segment outlets by what they care about</t>
        </is>
      </c>
      <c r="B4" s="28" t="inlineStr">
        <is>
          <t>CFR and WaPo/NYT often need strong context and sourcing; WSJ/Bloomberg respond well to economic/geopolitical hooks; AP values crisp facts and verification; Fox/Examiner often respond best to security, diplomacy, and hard-news pegs.</t>
        </is>
      </c>
    </row>
    <row r="5">
      <c r="A5" s="30" t="inlineStr">
        <is>
          <t>2. Match the journalist to the angle</t>
        </is>
      </c>
      <c r="B5" s="29" t="inlineStr">
        <is>
          <t>Use the 'Likely Angle' column before any outreach. Keep the pitch narrow: one story, one news hook, one reason it matters now.</t>
        </is>
      </c>
    </row>
    <row r="6">
      <c r="A6" s="30" t="inlineStr">
        <is>
          <t>3. Use public-contact hierarchy</t>
        </is>
      </c>
      <c r="B6" s="28" t="inlineStr">
        <is>
          <t>Use direct public email first when clearly listed. If there is no public email, prefer X/social or continued monitoring over guessing contact details.</t>
        </is>
      </c>
    </row>
    <row r="7">
      <c r="A7" s="30" t="inlineStr">
        <is>
          <t>4. Prep a source pack</t>
        </is>
      </c>
      <c r="B7" s="29" t="inlineStr">
        <is>
          <t>Have dates, data, original documents, quoteable experts, and a one-line why-now ready before outreach.</t>
        </is>
      </c>
    </row>
    <row r="8">
      <c r="A8" s="30" t="inlineStr">
        <is>
          <t>5. Follow-up discipline</t>
        </is>
      </c>
      <c r="B8" s="28" t="inlineStr">
        <is>
          <t>One initial message + one concise follow-up is usually enough. Log everything in Pipeline and stop if the contact appears uninterested.</t>
        </is>
      </c>
    </row>
    <row r="9">
      <c r="A9" s="30" t="inlineStr">
        <is>
          <t>6. High-sensitivity topics</t>
        </is>
      </c>
      <c r="B9" s="29" t="inlineStr">
        <is>
          <t>For Kashmir, rights, religion, or conflict, route through a subject-matter expert and verify every timeline/date before sending.</t>
        </is>
      </c>
    </row>
    <row r="10">
      <c r="A10" s="30" t="inlineStr">
        <is>
          <t>7. Broadcast targets</t>
        </is>
      </c>
      <c r="B10" s="28" t="inlineStr">
        <is>
          <t>For TV correspondents, pitch only when the story has a crisp security/conflict peg or a strong visual/news value.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40" customWidth="1" min="4" max="4"/>
    <col width="40" customWidth="1" min="5" max="5"/>
    <col width="40" customWidth="1" min="6" max="6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Publication</t>
        </is>
      </c>
      <c r="D1" s="6" t="inlineStr">
        <is>
          <t>Profile / role URL</t>
        </is>
      </c>
      <c r="E1" s="6" t="inlineStr">
        <is>
          <t>Contact evidence URL</t>
        </is>
      </c>
      <c r="F1" s="6" t="inlineStr">
        <is>
          <t>Verification note</t>
        </is>
      </c>
    </row>
    <row r="2">
      <c r="A2" s="28" t="n">
        <v>1</v>
      </c>
      <c r="B2" s="28" t="inlineStr">
        <is>
          <t>Alyssa Ayres</t>
        </is>
      </c>
      <c r="C2" s="28" t="inlineStr">
        <is>
          <t>Council on Foreign Relations</t>
        </is>
      </c>
      <c r="D2" s="31" t="inlineStr">
        <is>
          <t>https://www.cfr.org/experts/alyssa-ayres</t>
        </is>
      </c>
      <c r="E2" s="31" t="inlineStr">
        <is>
          <t>https://alyssaayres.com/contact/</t>
        </is>
      </c>
      <c r="F2" s="28" t="inlineStr">
        <is>
          <t>Official or self-published contact detail</t>
        </is>
      </c>
    </row>
    <row r="3">
      <c r="A3" s="29" t="n">
        <v>2</v>
      </c>
      <c r="B3" s="29" t="inlineStr">
        <is>
          <t>Manjari Chatterjee Miller</t>
        </is>
      </c>
      <c r="C3" s="29" t="inlineStr">
        <is>
          <t>Council on Foreign Relations</t>
        </is>
      </c>
      <c r="D3" s="32" t="inlineStr">
        <is>
          <t>https://www.cfr.org/experts/manjari-chatterjee-miller</t>
        </is>
      </c>
      <c r="E3" s="32" t="inlineStr">
        <is>
          <t>https://www.cfr.org/experts/manjari-chatterjee-miller</t>
        </is>
      </c>
      <c r="F3" s="29" t="inlineStr">
        <is>
          <t>Official or self-published contact detail</t>
        </is>
      </c>
    </row>
    <row r="4">
      <c r="A4" s="28" t="n">
        <v>3</v>
      </c>
      <c r="B4" s="28" t="inlineStr">
        <is>
          <t>Mujib Mashal</t>
        </is>
      </c>
      <c r="C4" s="28" t="inlineStr">
        <is>
          <t>The New York Times</t>
        </is>
      </c>
      <c r="D4" s="31" t="inlineStr">
        <is>
          <t>https://muckrack.com/mujmash</t>
        </is>
      </c>
      <c r="E4" s="31" t="inlineStr">
        <is>
          <t>https://x.com/MujMash</t>
        </is>
      </c>
      <c r="F4" s="28" t="inlineStr">
        <is>
          <t>Role/handle verified; no clear self-published direct email</t>
        </is>
      </c>
    </row>
    <row r="5">
      <c r="A5" s="29" t="n">
        <v>4</v>
      </c>
      <c r="B5" s="29" t="inlineStr">
        <is>
          <t>Anupreeta Das</t>
        </is>
      </c>
      <c r="C5" s="29" t="inlineStr">
        <is>
          <t>The New York Times</t>
        </is>
      </c>
      <c r="D5" s="32" t="inlineStr">
        <is>
          <t>https://muckrack.com/preetatweets</t>
        </is>
      </c>
      <c r="E5" s="32" t="inlineStr">
        <is>
          <t>https://x.com/PreetaTweets</t>
        </is>
      </c>
      <c r="F5" s="29" t="inlineStr">
        <is>
          <t>Role/handle verified; no clear self-published direct email</t>
        </is>
      </c>
    </row>
    <row r="6">
      <c r="A6" s="28" t="n">
        <v>5</v>
      </c>
      <c r="B6" s="28" t="inlineStr">
        <is>
          <t>Hari Kumar</t>
        </is>
      </c>
      <c r="C6" s="28" t="inlineStr">
        <is>
          <t>The New York Times</t>
        </is>
      </c>
      <c r="D6" s="31" t="inlineStr">
        <is>
          <t>https://muckrack.com/hari-kumar</t>
        </is>
      </c>
      <c r="E6" s="31" t="inlineStr">
        <is>
          <t>https://x.com/HariNYT</t>
        </is>
      </c>
      <c r="F6" s="28" t="inlineStr">
        <is>
          <t>Official or self-published contact detail</t>
        </is>
      </c>
    </row>
    <row r="7">
      <c r="A7" s="29" t="n">
        <v>6</v>
      </c>
      <c r="B7" s="29" t="inlineStr">
        <is>
          <t>Tripti Lahiri</t>
        </is>
      </c>
      <c r="C7" s="29" t="inlineStr">
        <is>
          <t>The Wall Street Journal</t>
        </is>
      </c>
      <c r="D7" s="32" t="inlineStr">
        <is>
          <t>https://muckrack.com/tripti-lahiri</t>
        </is>
      </c>
      <c r="E7" s="32" t="inlineStr">
        <is>
          <t>https://x.com/triptilahiri</t>
        </is>
      </c>
      <c r="F7" s="29" t="inlineStr">
        <is>
          <t>Role/handle verified; no clear self-published direct email</t>
        </is>
      </c>
    </row>
    <row r="8">
      <c r="A8" s="28" t="n">
        <v>7</v>
      </c>
      <c r="B8" s="28" t="inlineStr">
        <is>
          <t>Shan Li</t>
        </is>
      </c>
      <c r="C8" s="28" t="inlineStr">
        <is>
          <t>The Wall Street Journal</t>
        </is>
      </c>
      <c r="D8" s="31" t="inlineStr">
        <is>
          <t>https://muckrack.com/byshanli</t>
        </is>
      </c>
      <c r="E8" s="31" t="inlineStr">
        <is>
          <t>https://x.com/ByShanLi</t>
        </is>
      </c>
      <c r="F8" s="28" t="inlineStr">
        <is>
          <t>Role/handle verified; no clear self-published direct email</t>
        </is>
      </c>
    </row>
    <row r="9">
      <c r="A9" s="29" t="n">
        <v>8</v>
      </c>
      <c r="B9" s="29" t="inlineStr">
        <is>
          <t>Krishna Pokharel</t>
        </is>
      </c>
      <c r="C9" s="29" t="inlineStr">
        <is>
          <t>The Wall Street Journal</t>
        </is>
      </c>
      <c r="D9" s="32" t="inlineStr">
        <is>
          <t>https://www.wsj.com/news/author/krishna-pokharel</t>
        </is>
      </c>
      <c r="E9" s="32" t="inlineStr">
        <is>
          <t>https://x.com/pokharelkrishna</t>
        </is>
      </c>
      <c r="F9" s="29" t="inlineStr">
        <is>
          <t>Role/handle verified; no clear self-published direct email</t>
        </is>
      </c>
    </row>
    <row r="10">
      <c r="A10" s="28" t="n">
        <v>9</v>
      </c>
      <c r="B10" s="28" t="inlineStr">
        <is>
          <t>Pranshu Verma</t>
        </is>
      </c>
      <c r="C10" s="28" t="inlineStr">
        <is>
          <t>The Washington Post</t>
        </is>
      </c>
      <c r="D10" s="31" t="inlineStr">
        <is>
          <t>https://www.washingtonpost.com/people/pranshu-verma/</t>
        </is>
      </c>
      <c r="E10" s="31" t="inlineStr">
        <is>
          <t>https://www.linkedin.com/posts/pranshuverma_as-of-today-i-can-start-reporting-on-india-activity-7358387673503334402-zXA2</t>
        </is>
      </c>
      <c r="F10" s="28" t="inlineStr">
        <is>
          <t>Official or self-published contact detail</t>
        </is>
      </c>
    </row>
    <row r="11">
      <c r="A11" s="29" t="n">
        <v>10</v>
      </c>
      <c r="B11" s="29" t="inlineStr">
        <is>
          <t>Karishma Mehrotra</t>
        </is>
      </c>
      <c r="C11" s="29" t="inlineStr">
        <is>
          <t>The Washington Post</t>
        </is>
      </c>
      <c r="D11" s="32" t="inlineStr">
        <is>
          <t>https://www.washingtonpost.com/people/karishma-mehrotra/</t>
        </is>
      </c>
      <c r="E11" s="32" t="inlineStr">
        <is>
          <t>https://www.karishmamehrotra.com/contact</t>
        </is>
      </c>
      <c r="F11" s="29" t="inlineStr">
        <is>
          <t>Official or self-published contact detail</t>
        </is>
      </c>
    </row>
    <row r="12">
      <c r="A12" s="28" t="n">
        <v>11</v>
      </c>
      <c r="B12" s="28" t="inlineStr">
        <is>
          <t>Joanna Slater</t>
        </is>
      </c>
      <c r="C12" s="28" t="inlineStr">
        <is>
          <t>The Washington Post</t>
        </is>
      </c>
      <c r="D12" s="31" t="inlineStr">
        <is>
          <t>https://www.washingtonpost.com/people/joanna-slater/</t>
        </is>
      </c>
      <c r="E12" s="31" t="inlineStr">
        <is>
          <t>https://x.com/jslaternyc</t>
        </is>
      </c>
      <c r="F12" s="28" t="inlineStr">
        <is>
          <t>Role/handle verified; no clear self-published direct email</t>
        </is>
      </c>
    </row>
    <row r="13">
      <c r="A13" s="29" t="n">
        <v>12</v>
      </c>
      <c r="B13" s="29" t="inlineStr">
        <is>
          <t>Timothy Nerozzi</t>
        </is>
      </c>
      <c r="C13" s="29" t="inlineStr">
        <is>
          <t>Washington Examiner</t>
        </is>
      </c>
      <c r="D13" s="32" t="inlineStr">
        <is>
          <t>https://www.washingtonexaminer.com/author/timothy-nerozzi/</t>
        </is>
      </c>
      <c r="E13" s="32" t="inlineStr">
        <is>
          <t>https://x.com/TimothyNerozzi</t>
        </is>
      </c>
      <c r="F13" s="29" t="inlineStr">
        <is>
          <t>Role/handle verified; no clear self-published direct email</t>
        </is>
      </c>
    </row>
    <row r="14">
      <c r="A14" s="28" t="n">
        <v>13</v>
      </c>
      <c r="B14" s="28" t="inlineStr">
        <is>
          <t>Brady Knox</t>
        </is>
      </c>
      <c r="C14" s="28" t="inlineStr">
        <is>
          <t>Washington Examiner</t>
        </is>
      </c>
      <c r="D14" s="31" t="inlineStr">
        <is>
          <t>https://www.washingtonexaminer.com/author/brady-knox/</t>
        </is>
      </c>
      <c r="E14" s="31" t="inlineStr">
        <is>
          <t>https://x.com/Brady_k6</t>
        </is>
      </c>
      <c r="F14" s="28" t="inlineStr">
        <is>
          <t>Role/handle verified; no clear self-published direct email</t>
        </is>
      </c>
    </row>
    <row r="15">
      <c r="A15" s="29" t="n">
        <v>14</v>
      </c>
      <c r="B15" s="29" t="inlineStr">
        <is>
          <t>Tom Rogan</t>
        </is>
      </c>
      <c r="C15" s="29" t="inlineStr">
        <is>
          <t>Washington Examiner</t>
        </is>
      </c>
      <c r="D15" s="32" t="inlineStr">
        <is>
          <t>https://www.washingtonexaminer.com/author/tom-rogan/</t>
        </is>
      </c>
      <c r="E15" s="32" t="inlineStr">
        <is>
          <t>https://www.washingtonexaminer.com/author/tom-rogan/</t>
        </is>
      </c>
      <c r="F15" s="29" t="inlineStr">
        <is>
          <t>Official or self-published contact detail</t>
        </is>
      </c>
    </row>
    <row r="16">
      <c r="A16" s="28" t="n">
        <v>15</v>
      </c>
      <c r="B16" s="28" t="inlineStr">
        <is>
          <t>Jennifer Griffin</t>
        </is>
      </c>
      <c r="C16" s="28" t="inlineStr">
        <is>
          <t>FOX News</t>
        </is>
      </c>
      <c r="D16" s="31" t="inlineStr">
        <is>
          <t>https://www.foxnews.com/person/g/jennifer-griffin</t>
        </is>
      </c>
      <c r="E16" s="31" t="inlineStr">
        <is>
          <t>https://x.com/JenGriffinFNC</t>
        </is>
      </c>
      <c r="F16" s="28" t="inlineStr">
        <is>
          <t>Role/handle verified; no clear self-published direct email</t>
        </is>
      </c>
    </row>
    <row r="17">
      <c r="A17" s="29" t="n">
        <v>16</v>
      </c>
      <c r="B17" s="29" t="inlineStr">
        <is>
          <t>Trey Yingst</t>
        </is>
      </c>
      <c r="C17" s="29" t="inlineStr">
        <is>
          <t>FOX News</t>
        </is>
      </c>
      <c r="D17" s="32" t="inlineStr">
        <is>
          <t>https://muckrack.com/trey-yingst</t>
        </is>
      </c>
      <c r="E17" s="32" t="inlineStr">
        <is>
          <t>https://x.com/TreyYingst</t>
        </is>
      </c>
      <c r="F17" s="29" t="inlineStr">
        <is>
          <t>Role/handle verified; no clear self-published direct email</t>
        </is>
      </c>
    </row>
    <row r="18">
      <c r="A18" s="28" t="n">
        <v>17</v>
      </c>
      <c r="B18" s="28" t="inlineStr">
        <is>
          <t>Sheikh Saaliq</t>
        </is>
      </c>
      <c r="C18" s="28" t="inlineStr">
        <is>
          <t>Associated Press</t>
        </is>
      </c>
      <c r="D18" s="31" t="inlineStr">
        <is>
          <t>https://apnews.com/author/sheikh-saaliq</t>
        </is>
      </c>
      <c r="E18" s="31" t="inlineStr">
        <is>
          <t>https://x.com/Sheikh_Saaliq</t>
        </is>
      </c>
      <c r="F18" s="28" t="inlineStr">
        <is>
          <t>Role/handle verified; no clear self-published direct email</t>
        </is>
      </c>
    </row>
    <row r="19">
      <c r="A19" s="29" t="n">
        <v>18</v>
      </c>
      <c r="B19" s="29" t="inlineStr">
        <is>
          <t>Sibi Arasu</t>
        </is>
      </c>
      <c r="C19" s="29" t="inlineStr">
        <is>
          <t>Associated Press</t>
        </is>
      </c>
      <c r="D19" s="32" t="inlineStr">
        <is>
          <t>https://apnews.com/author/sibi-arasu</t>
        </is>
      </c>
      <c r="E19" s="32" t="inlineStr">
        <is>
          <t>https://x.com/sibi123</t>
        </is>
      </c>
      <c r="F19" s="29" t="inlineStr">
        <is>
          <t>Official or self-published contact detail</t>
        </is>
      </c>
    </row>
    <row r="20">
      <c r="A20" s="28" t="n">
        <v>19</v>
      </c>
      <c r="B20" s="28" t="inlineStr">
        <is>
          <t>Aijaz Hussain</t>
        </is>
      </c>
      <c r="C20" s="28" t="inlineStr">
        <is>
          <t>Associated Press</t>
        </is>
      </c>
      <c r="D20" s="31" t="inlineStr">
        <is>
          <t>https://apnews.com/author/aijaz-hussain</t>
        </is>
      </c>
      <c r="E20" s="31" t="inlineStr">
        <is>
          <t>https://x.com/hussain_aijaz</t>
        </is>
      </c>
      <c r="F20" s="28" t="inlineStr">
        <is>
          <t>Role/handle verified; no clear self-published direct email</t>
        </is>
      </c>
    </row>
    <row r="21">
      <c r="A21" s="29" t="n">
        <v>20</v>
      </c>
      <c r="B21" s="29" t="inlineStr">
        <is>
          <t>Swati Gupta</t>
        </is>
      </c>
      <c r="C21" s="29" t="inlineStr">
        <is>
          <t>Bloomberg</t>
        </is>
      </c>
      <c r="D21" s="32" t="inlineStr">
        <is>
          <t>https://www.bloomberg.com/authors/AWZfRQwLDfI/swati-gupta</t>
        </is>
      </c>
      <c r="E21" s="32" t="inlineStr">
        <is>
          <t>https://x.com/sw_gs</t>
        </is>
      </c>
      <c r="F21" s="29" t="inlineStr">
        <is>
          <t>Official or self-published contact detail</t>
        </is>
      </c>
    </row>
    <row r="22">
      <c r="A22" s="28" t="n">
        <v>21</v>
      </c>
      <c r="B22" s="28" t="inlineStr">
        <is>
          <t>Rajesh Kumar Singh</t>
        </is>
      </c>
      <c r="C22" s="28" t="inlineStr">
        <is>
          <t>Bloomberg</t>
        </is>
      </c>
      <c r="D22" s="31" t="inlineStr">
        <is>
          <t>https://www.bloomberg.com/authors/AQMyDU0Qjbo/rajesh-kumar-singh</t>
        </is>
      </c>
      <c r="E22" s="31" t="inlineStr">
        <is>
          <t>https://news.bloomberglaw.com/author/rajesh-kumar-singh-16986637</t>
        </is>
      </c>
      <c r="F22" s="28" t="inlineStr">
        <is>
          <t>Official or self-published contact detail</t>
        </is>
      </c>
    </row>
    <row r="23">
      <c r="A23" s="29" t="n">
        <v>22</v>
      </c>
      <c r="B23" s="29" t="inlineStr">
        <is>
          <t>Advait Palepu</t>
        </is>
      </c>
      <c r="C23" s="29" t="inlineStr">
        <is>
          <t>Bloomberg</t>
        </is>
      </c>
      <c r="D23" s="32" t="inlineStr">
        <is>
          <t>https://www.bloomberg.com/authors/AWRasSKfZpM/advait-palepu</t>
        </is>
      </c>
      <c r="E23" s="32" t="inlineStr">
        <is>
          <t>https://x.com/advait_px</t>
        </is>
      </c>
      <c r="F23" s="29" t="inlineStr">
        <is>
          <t>Official or self-published contact detail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2026-04-15T18:41:52Z</dcterms:created>
  <dcterms:modified xmlns:dcterms="http://purl.org/dc/terms/" xmlns:xsi="http://www.w3.org/2001/XMLSchema-instance" xsi:type="dcterms:W3CDTF">2026-04-15T18:54:27Z</dcterms:modified>
</cp:coreProperties>
</file>